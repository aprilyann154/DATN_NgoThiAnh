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ĐATN\libpro_test_automation\"/>
    </mc:Choice>
  </mc:AlternateContent>
  <xr:revisionPtr revIDLastSave="0" documentId="13_ncr:1_{CE6797FA-4173-47B6-B63C-3228537BE5A0}" xr6:coauthVersionLast="47" xr6:coauthVersionMax="47" xr10:uidLastSave="{00000000-0000-0000-0000-000000000000}"/>
  <bookViews>
    <workbookView xWindow="-108" yWindow="-108" windowWidth="23256" windowHeight="12456" xr2:uid="{00000000-000D-0000-FFFF-FFFF00000000}"/>
  </bookViews>
  <sheets>
    <sheet name="Đăng nhập" sheetId="1" r:id="rId1"/>
    <sheet name="Quản lý sách - Thêm mới sách" sheetId="2" r:id="rId2"/>
    <sheet name="Quản lý sách - Chỉnh sửa sách" sheetId="3" r:id="rId3"/>
    <sheet name="Quản lý sách - Xóa, tìm kiếm " sheetId="4" r:id="rId4"/>
    <sheet name="Quản lý mượn, trả" sheetId="5" r:id="rId5"/>
    <sheet name="Mượn sách" sheetId="6" r:id="rId6"/>
    <sheet name="Test report"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7" i="7" l="1"/>
  <c r="D7" i="7"/>
  <c r="C7" i="7"/>
  <c r="B7" i="7"/>
  <c r="F7" i="7" s="1"/>
  <c r="E6" i="7"/>
  <c r="D6" i="7"/>
  <c r="C6" i="7"/>
  <c r="B6" i="7"/>
  <c r="F6" i="7" s="1"/>
  <c r="E5" i="7"/>
  <c r="D5" i="7"/>
  <c r="C5" i="7"/>
  <c r="B5" i="7"/>
  <c r="F5" i="7" s="1"/>
  <c r="E4" i="7"/>
  <c r="D4" i="7"/>
  <c r="C4" i="7"/>
  <c r="B4" i="7"/>
  <c r="F4" i="7" s="1"/>
  <c r="E3" i="7"/>
  <c r="D3" i="7"/>
  <c r="C3" i="7"/>
  <c r="B3" i="7"/>
  <c r="F3" i="7" s="1"/>
  <c r="F2" i="7"/>
  <c r="E2" i="7"/>
  <c r="E8" i="7" s="1"/>
  <c r="D2" i="7"/>
  <c r="D8" i="7" s="1"/>
  <c r="C2" i="7"/>
  <c r="C8" i="7" s="1"/>
  <c r="B2" i="7"/>
  <c r="B8" i="7" s="1"/>
  <c r="F8" i="7" s="1"/>
  <c r="B7" i="6"/>
  <c r="B5" i="6"/>
  <c r="B4" i="6"/>
  <c r="B7" i="5"/>
  <c r="B5" i="5"/>
  <c r="B4" i="5"/>
  <c r="B7" i="3"/>
  <c r="B5" i="3"/>
  <c r="B4" i="3"/>
  <c r="B7" i="2"/>
  <c r="B5" i="2"/>
  <c r="B4" i="2"/>
  <c r="B7" i="1"/>
  <c r="B6" i="1"/>
  <c r="B5" i="1"/>
  <c r="B4" i="1"/>
  <c r="B7" i="4"/>
  <c r="B6" i="4"/>
  <c r="B5" i="4"/>
  <c r="B4" i="4"/>
</calcChain>
</file>

<file path=xl/sharedStrings.xml><?xml version="1.0" encoding="utf-8"?>
<sst xmlns="http://schemas.openxmlformats.org/spreadsheetml/2006/main" count="459" uniqueCount="220">
  <si>
    <t>Build Version</t>
  </si>
  <si>
    <t>TC</t>
  </si>
  <si>
    <t>Last Test Results</t>
  </si>
  <si>
    <t>Tester: Anh</t>
  </si>
  <si>
    <t>Total Test case</t>
  </si>
  <si>
    <t>Passed</t>
  </si>
  <si>
    <t>Passed: Kết quả thực tế đúng với kết quả mong đợi</t>
  </si>
  <si>
    <t>Failed</t>
  </si>
  <si>
    <t>Failed: Kết quả thực tế không đúng với kết quả mong đợi</t>
  </si>
  <si>
    <t>Skipped</t>
  </si>
  <si>
    <t>Skipped: Bỏ qua case</t>
  </si>
  <si>
    <t>Test case Id</t>
  </si>
  <si>
    <t>Test case Title
(Tên testcase)</t>
  </si>
  <si>
    <t>Pre-conditions
(Điều kiện bắt buộc)</t>
  </si>
  <si>
    <t xml:space="preserve">Dữ liệu kiểm thử
</t>
  </si>
  <si>
    <t>Test Steps
(Các bước thực hiện)</t>
  </si>
  <si>
    <t>Expected result
(Kết quả mong muốn)</t>
  </si>
  <si>
    <t>Priority</t>
  </si>
  <si>
    <t>Test Results</t>
  </si>
  <si>
    <t>BugID</t>
  </si>
  <si>
    <t>Notes</t>
  </si>
  <si>
    <t>EDGE</t>
  </si>
  <si>
    <t>TC_QLS_013</t>
  </si>
  <si>
    <t>Kiểm tra nút xóa</t>
  </si>
  <si>
    <t>Đăng nhập Admin thành công. Đang ở màn hình quản lý sách.</t>
  </si>
  <si>
    <t>1. Nhấn vào biểu tượng “Xóa” trên một sách</t>
  </si>
  <si>
    <t>Hiển thị popup xác nhận xóa.</t>
  </si>
  <si>
    <t>High</t>
  </si>
  <si>
    <t>TC_QLS_014</t>
  </si>
  <si>
    <t>Kiểm tra xác nhận xóa sách.</t>
  </si>
  <si>
    <t>1. Nhấn “Xóa ngay” trên popup xác nhận xóa</t>
  </si>
  <si>
    <t>Popup đóng lại, hệ thống hiển thị thông báo "Xóa sách thành công". Dòng chứa cuốn sách đó biến mất hoàn toàn khỏi bảng danh sách.</t>
  </si>
  <si>
    <t>TC_QLS_015</t>
  </si>
  <si>
    <t>Kiểm tra hủy xóa sách</t>
  </si>
  <si>
    <t>1. Nhấn “Hủy bỏ” trên popup xác nhận xóa</t>
  </si>
  <si>
    <t>Popup xác nhận xóa đóng lại. Hệ thống hủy thao tác xóa, bản ghi sách vẫn được giữ nguyên hiển thị trên danh sách.</t>
  </si>
  <si>
    <t>TC_QLS_016</t>
  </si>
  <si>
    <t>Kiểm tra tìm kiếm sách có kết quả</t>
  </si>
  <si>
    <t>Số đỏ</t>
  </si>
  <si>
    <t>1.  Nhập từ khóa tồn tại</t>
  </si>
  <si>
    <t>Hiển thị các sách đúng với tìm kiếm</t>
  </si>
  <si>
    <t>Medium</t>
  </si>
  <si>
    <t>TC_QLS_017</t>
  </si>
  <si>
    <t>Kiểm tra tìm kiếm sách không có kết quả</t>
  </si>
  <si>
    <t>ABC</t>
  </si>
  <si>
    <t>1.  Nhập từ khóa không tồn tại</t>
  </si>
  <si>
    <t>Hiển thị danh sách trống</t>
  </si>
  <si>
    <t>TC_DN_001</t>
  </si>
  <si>
    <t>Kiểm tra đăng nhập thành công với quyền admin</t>
  </si>
  <si>
    <t>Tài khoản Admin tồn tại trên hệ thống</t>
  </si>
  <si>
    <t>username: admin
password: 123456</t>
  </si>
  <si>
    <t>1. Truy cập vào trang Đăng nhập
2. Nhập tên đăng nhập và mật khẩu
3. Kích vào nút "Đăng Nhập"</t>
  </si>
  <si>
    <t>Hệ thống báo đăng nhập thành công và điều hướng vào trang Dashboard dành cho Quản trị viên.</t>
  </si>
  <si>
    <t>TC_DN_002</t>
  </si>
  <si>
    <t>Kiểm tra đăng nhập thành công với quyền độc giả</t>
  </si>
  <si>
    <t>Tài khoản Độc giả tồn tại trên hệ thống</t>
  </si>
  <si>
    <t>username: anngo
password: 123456</t>
  </si>
  <si>
    <t>Hệ thống báo thành công và điều hướng vào Trang chủ dành cho Độc giả.</t>
  </si>
  <si>
    <t>TC_DN_003</t>
  </si>
  <si>
    <t>Kiểm tra đăng nhập khi sai mật khẩu</t>
  </si>
  <si>
    <t>username: anngo
password: 0</t>
  </si>
  <si>
    <t>Hệ thống thông báo sai tài khoản/mật khẩu và yêu cầu nhập lại.</t>
  </si>
  <si>
    <t>TC_DN_004</t>
  </si>
  <si>
    <t>Kiểm tra đăng nhập khi sai tên đăng nhập</t>
  </si>
  <si>
    <t>username: 123
password: 123456</t>
  </si>
  <si>
    <t>TC_DN_005</t>
  </si>
  <si>
    <t>Kiểm tra đăng nhập bằng tài khoản không tồn tại</t>
  </si>
  <si>
    <t>username: 1
password: 1</t>
  </si>
  <si>
    <t>TC_DN_006</t>
  </si>
  <si>
    <t>Kiểm tra đăng nhập khi để trống tên đăng nhập</t>
  </si>
  <si>
    <t>username: 
password: 123456</t>
  </si>
  <si>
    <t>Hệ thống thông báo trường tên đăng nhập đang trống và yêu cầu nhập lại.</t>
  </si>
  <si>
    <t>TC_DN_007</t>
  </si>
  <si>
    <t>Kiểm tra đăng nhập khi để trống mật khẩu</t>
  </si>
  <si>
    <t xml:space="preserve">username: anngo
password: </t>
  </si>
  <si>
    <t>Hệ thống thông báo trường mật khẩu đang trống và yêu cầu nhập lại.</t>
  </si>
  <si>
    <t>TC_DN_008</t>
  </si>
  <si>
    <t>Kiểm tra đăng nhập khi để trống tên đăng nhập và mật khẩu</t>
  </si>
  <si>
    <t>Hệ thống cảnh báo và yêu cầu nhập đầy đủ thông tin.</t>
  </si>
  <si>
    <t>Low</t>
  </si>
  <si>
    <t>TC_DN_009</t>
  </si>
  <si>
    <t>Kiểm tra điều hướng link Đăng ký</t>
  </si>
  <si>
    <t>Chuyển hướng sang màn hình Đăng ký tài khoản.</t>
  </si>
  <si>
    <t>TC_DN_010</t>
  </si>
  <si>
    <t>Kiểm tra điều hướng link Quên mật khẩu</t>
  </si>
  <si>
    <t>Chuyển hướng sang màn hình Khôi phục mật khẩu.</t>
  </si>
  <si>
    <t>TC_QLS_001</t>
  </si>
  <si>
    <t>Kiểm tra mở form thêm mới sách</t>
  </si>
  <si>
    <t>Đăng nhập Admin thành công.</t>
  </si>
  <si>
    <t>1. Click vào nút "Thêm mới"</t>
  </si>
  <si>
    <t>Hệ thống hiển thị popup nhập thông tin cho sách mới</t>
  </si>
  <si>
    <t>TC_QLS_002</t>
  </si>
  <si>
    <t>Kiểm tra thêm mới sách khi nhập đầy đủ thông tin các trường</t>
  </si>
  <si>
    <t xml:space="preserve">Đăng nhập Admin thành công. Đang mở form thêm mới sách. </t>
  </si>
  <si>
    <t>Tên sách: Những Ngôi Sao Xa Xôi
Tác giả: Lê Minh Khuê
Thể loại: Văn học Việt Nam
Số lượng: 2
Độ tuổi: 12+
Nội dung tóm tắt: Những ngôi sao xa xôi" (1971) của Lê Minh Khuê là truyện ngắn xuất sắc về thế hệ trẻ thời kháng chiến chống Mỹ.
Có thể bạn chưa biết: "Những ngôi sao xa xôi" được đưa vào tuyển tập các truyện ngắn hay nhất thế giới.</t>
  </si>
  <si>
    <t>1. Tải lên một "Ảnh bìa sách" hợp lệ.
2. Nhập đầy đủ thông tin vào các trường bắt buộc.
3. Nhập thông tin vào các trường tùy chọn.
4. Click nút "Lưu".</t>
  </si>
  <si>
    <t>Hệ thống đóng form, hiển thị thông báo "Thêm sách thành công" và cập nhật đầu sách mới vào danh sách.</t>
  </si>
  <si>
    <t>TC_QLS_003</t>
  </si>
  <si>
    <t>Kiểm tra thêm mới sách khi chỉ nhập thông tin các trường bắt buộc</t>
  </si>
  <si>
    <t>Tên sách: Những Ngôi Sao Xa Xôi
Tác giả: Lê Minh Khuê
Thể loại: Văn học Việt Nam
Số lượng: 2
Nội dung tóm tắt: Những ngôi sao xa xôi" (1971) của Lê Minh Khuê là truyện ngắn xuất sắc về thế hệ trẻ thời kháng chiến chống Mỹ.</t>
  </si>
  <si>
    <t>1. Nhập thông tin hợp lệ vào tất cả các trường có dấu *
2. Bỏ trống Ảnh bìa và các trường không có dấu *
3.  Click nút "Lưu".</t>
  </si>
  <si>
    <t>Hệ thống đóng form, hiển thị thông báo "Thêm sách thành công" và cập nhật đầu sách mới vào danh sách. Các trường bị bỏ trống sẽ hiển thị giá trị mặc định.</t>
  </si>
  <si>
    <t>TC_QLS_004</t>
  </si>
  <si>
    <t>Kiểm tra thêm mới sách khi bỏ trống các trường bắt buộc</t>
  </si>
  <si>
    <t>1. Để trống một hoặc nhiều trường có dấu * (VD: Tên sách, Số lượng)
2.  Click nút "Lưu".</t>
  </si>
  <si>
    <t>Hệ thống thông báo nhập đầy đủ các trường để trống.</t>
  </si>
  <si>
    <t>TC_QLS_005</t>
  </si>
  <si>
    <t>Kiểm tra định dạng trường số lượng</t>
  </si>
  <si>
    <t>Chữ cái: abc
Số âm: -5
Ký tự đặc biệt: $, %, &amp;</t>
  </si>
  <si>
    <t>Hệ thống cảnh báo nhập số lượng chưa hợp lệ.</t>
  </si>
  <si>
    <t>TC_QLS_006</t>
  </si>
  <si>
    <t>Kiểm tra hủy thêm mới sách</t>
  </si>
  <si>
    <t>Form đóng lại, các thông tin vừa nhập không được lưu, danh sách sách không thay đổi.</t>
  </si>
  <si>
    <t>TC_QLS_007</t>
  </si>
  <si>
    <t>Kiểm tra mở form chỉnh sửa sách</t>
  </si>
  <si>
    <t>1. Tại màn "Kho sách", click vào icon "Chỉnh sửa" của một cuốn sách.</t>
  </si>
  <si>
    <t>Hệ thống hiển thị popup chỉnh sửa sách</t>
  </si>
  <si>
    <t>TC_QLS_008</t>
  </si>
  <si>
    <t>Kiểm tra hiển thị dữ liệu mặc định</t>
  </si>
  <si>
    <t xml:space="preserve">Đăng nhập Admin thành công. Đang mở form chỉnh sửa sách. </t>
  </si>
  <si>
    <t>1. Tại màn hình popup chỉnh sửa sách</t>
  </si>
  <si>
    <t>Form "Chỉnh Sửa Sách" hiển thị. Tất cả các trường thông tin (Ảnh bìa, Tên sách, Tác giả, Thể loại, Số lượng, Độ tuổi, Tóm tắt, Sự thật thú vị) đều được điền sẵn dữ liệu hiện tại của cuốn sách đó.</t>
  </si>
  <si>
    <t>TC_QLS_009</t>
  </si>
  <si>
    <t>Kiểm tra cập nhật thông tin thành công</t>
  </si>
  <si>
    <t>1. Thay đổi dữ liệu ở một hoặc nhiều trường 
2. Nhấn “Cập nhật”</t>
  </si>
  <si>
    <t>Form đóng lại, hiển thị thông báo "Cập nhật sách thành công". Dữ liệu mới được cập nhật ngay trên bảng danh sách sách.</t>
  </si>
  <si>
    <t>TC_QLS_010</t>
  </si>
  <si>
    <t>Kiểm tra cập nhật thông tin khi bỏ trống trường bắt buộc</t>
  </si>
  <si>
    <t>1. Bỏ trống dữ liệu ở một hoặc nhiều trường bắt buộc.
2. Nhấn “Cập nhật”</t>
  </si>
  <si>
    <t>Hệ thống cảnh báo nhập đầy đủ các trường bỏ trống.</t>
  </si>
  <si>
    <t>TC_QLS_011</t>
  </si>
  <si>
    <t>Kiểm tra cập nhật thống tin khi nhập thông tin không hợp lệ</t>
  </si>
  <si>
    <t>1. Nhập dữ liệu không hợp lệ vào một hoặc nhiều trường.
2. Nhấn “Cập nhật”</t>
  </si>
  <si>
    <t>Hệ thống cảnh báo nhập dữ liệu hợp lệ,</t>
  </si>
  <si>
    <t>TC_QLS_012</t>
  </si>
  <si>
    <t>Kiểm tra hủy chỉnh sửa sách</t>
  </si>
  <si>
    <t>1. Click nút "Hủy"</t>
  </si>
  <si>
    <t>TC_MT_001</t>
  </si>
  <si>
    <t>Kiểm tra nhắc nhở trả sách đến hạn</t>
  </si>
  <si>
    <t>Đăng nhập Admin thành công. Mở màn quản lý mượn/trả.</t>
  </si>
  <si>
    <t>1. Nhấn vào biểu tượng “Chuông” trên một giao dịch đến hạn.</t>
  </si>
  <si>
    <t>TC_MT_002</t>
  </si>
  <si>
    <t>Kiểm tra xác nhận nhắc nhở trả sách</t>
  </si>
  <si>
    <t>1. Nhấn “Gửi ngay” trên popup xác nhận</t>
  </si>
  <si>
    <t>Hệ thống báo gửi lời nhắc thành công, đóng popup và disable Chuông nhắc nhở.</t>
  </si>
  <si>
    <t>TC_MT_003</t>
  </si>
  <si>
    <t>Kiểm tra Hủy nhắc trả sách</t>
  </si>
  <si>
    <t>1. Nhấn “Hủy” trên popup.</t>
  </si>
  <si>
    <t>Hệ thống đóng popup và vẫn enable nút Chuông.</t>
  </si>
  <si>
    <t>TC_MT_004</t>
  </si>
  <si>
    <t>Kiểm tra thu sách</t>
  </si>
  <si>
    <t>1. Nhấn “Thu” trên một dòng giao dịch</t>
  </si>
  <si>
    <t>Hệ thống hiển thị popup xác nhận thu hồi sách.</t>
  </si>
  <si>
    <t>TC_MT_005</t>
  </si>
  <si>
    <t>Kiểm tra xác nhận thu hồi sách</t>
  </si>
  <si>
    <t>1. Nhấn “Xác nhận” trên popup xác nhận.</t>
  </si>
  <si>
    <t>Đóng popup, thông báo đã thu hồi sách, phần thao tác hiện. nút “Xóa”.</t>
  </si>
  <si>
    <t>TC_MT_006</t>
  </si>
  <si>
    <t>Kiểm tra hủy thu hồi sách</t>
  </si>
  <si>
    <t>1. Nhấn “Chưa” trên popup</t>
  </si>
  <si>
    <t>Đóng popup và vẫn enable nút “Thu”.</t>
  </si>
  <si>
    <t>TC_MT_007</t>
  </si>
  <si>
    <t>Kiểm tra xóa giao dịch đã trả sách</t>
  </si>
  <si>
    <t>1. Nhấn “Xóa” trên một dòng giao dịch</t>
  </si>
  <si>
    <t>Hiển thị popup xác nhận xóa vĩnh viễn giao dịch.</t>
  </si>
  <si>
    <t>TC_MT_008</t>
  </si>
  <si>
    <t>Kiểm tra xác nhận xóa giao dịch</t>
  </si>
  <si>
    <t>1. Nhấn “Xác nhận” trên popup xác nhận</t>
  </si>
  <si>
    <t>Đóng popup, hiển thị thông báo xóa thành công. Cập nhật lại danh sách giao dịch.</t>
  </si>
  <si>
    <t>TC_MT_009</t>
  </si>
  <si>
    <t>Kiểm tra hủy xóa giao dịch</t>
  </si>
  <si>
    <t>1. Nhấn “Hủy” trên popup xác nhận</t>
  </si>
  <si>
    <t>Đóng popup giữ nguyên giao dịch trên danh sách.</t>
  </si>
  <si>
    <t>TC_MS_001</t>
  </si>
  <si>
    <t>Kiểm tra chuyển sang màn hình xác nhận thành công</t>
  </si>
  <si>
    <t>Đang ở màn hình nhập thông tin mượn</t>
  </si>
  <si>
    <t>Ngày mượn: 15/04/2026
Ngày trả: 20/04/2026
Số lượng: 1</t>
  </si>
  <si>
    <t>1. Nhập đầy đủ thông tin mượn.
2. Nhấn nút "Mượn ngay".</t>
  </si>
  <si>
    <t>Hệ thống chuyển sang màn hình xác nhận mượn sách.</t>
  </si>
  <si>
    <t>TC_MS_002</t>
  </si>
  <si>
    <t>Kiểm tra khi nhập thông tin mượn không hợp lệ</t>
  </si>
  <si>
    <t>1. Nhập thông tin mượn không hợp lệ.
2. Nhấn nút "Mượn ngay".</t>
  </si>
  <si>
    <t>Hệ thống hiển thị thông báo lỗi và yêu cầu người dùng nhập lại.</t>
  </si>
  <si>
    <t>TC_MS_003</t>
  </si>
  <si>
    <t>Kiểm tra nhấn Mượn ngay</t>
  </si>
  <si>
    <t>Hệ thống hiển thị popup xác nhận mượn sách.</t>
  </si>
  <si>
    <t>TC_MS_004</t>
  </si>
  <si>
    <t>Kiểm tra hủy nhập thông tin</t>
  </si>
  <si>
    <t>Đang ở màn hình xác nhận mượn</t>
  </si>
  <si>
    <t>1. Kích vào biểu tượng "X".</t>
  </si>
  <si>
    <t>Đóng form thiết lập, hủy thao tác và quay lại màn hình chi tiết sách.</t>
  </si>
  <si>
    <t>TC_MS_005</t>
  </si>
  <si>
    <t>Kiểm tra xác nhận mượn thành công</t>
  </si>
  <si>
    <t>1. Tích vào ô xác nhận tuân thủ quy định thư viện.
2. Nhấn nút "Xác nhận".</t>
  </si>
  <si>
    <t>Hệ thống hiển thị thông báo mượn thành công, thông tin được cập nhật vào CSDL và quay về màn hình trước đó.</t>
  </si>
  <si>
    <t>TC_MS_006</t>
  </si>
  <si>
    <t>Kiểm tra mượn sách khi chưa đồng ý quy định thư viện</t>
  </si>
  <si>
    <t>1. Để trống ô xác nhận tuân thủ quy định thư viện.
2. Nhấn nút "Xác nhận".</t>
  </si>
  <si>
    <t>Hệ thống cảnh báo phải tích chọn tuân thủ quy định thư viện.</t>
  </si>
  <si>
    <t>TC_MS_007</t>
  </si>
  <si>
    <t>Kiểm tra hủy xác nhận mượn sách</t>
  </si>
  <si>
    <t>1. Nhấn nút "Quay lại" trên màn hình xác nhận.</t>
  </si>
  <si>
    <t>Hệ thống quay trở lại màn hình thiết lập phiếu mượn.</t>
  </si>
  <si>
    <t>TC_MS_008</t>
  </si>
  <si>
    <t>Kiểm tra xem nội quy thư viện</t>
  </si>
  <si>
    <t>Hiển thị popup nội dung quy định.</t>
  </si>
  <si>
    <t>Test case</t>
  </si>
  <si>
    <t>Tổng test case</t>
  </si>
  <si>
    <t xml:space="preserve">Tỉ lệ passed </t>
  </si>
  <si>
    <t>Đăng nhập</t>
  </si>
  <si>
    <t>Quản lý sách - Thêm mới sách</t>
  </si>
  <si>
    <t>Quản lý sách - Chỉnh sửa sách</t>
  </si>
  <si>
    <t>Quản lý sách - Xóa, tìm kiếm</t>
  </si>
  <si>
    <t>Quản lý mượn, trả</t>
  </si>
  <si>
    <t>Mượn sách</t>
  </si>
  <si>
    <t>Tổng</t>
  </si>
  <si>
    <t>Hệ thống hiển thị popup xác nhận Gửi nhắc nhở.</t>
  </si>
  <si>
    <t>1. Nhập thông tin 
2. Click nút "Hủy"</t>
  </si>
  <si>
    <t>1. Nhập chữ cái, ký tự đặc biệt hoặc số âm (VD: -5, abc) vào trường "Số lượng"
2.  Click nút "Lưu".</t>
  </si>
  <si>
    <t>1. Truy cập vào trang Đăng nhập
2. Kích vào link "Đăng ký ngay"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</si>
</sst>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Aptos Narrow"/>
      <family val="2"/>
      <charset val="163"/>
      <scheme val="minor"/>
    </font>
    <font>
      <b/>
      <sz val="12"/>
      <color rgb="FF1F497D"/>
      <name val="Times New Roman"/>
      <family val="1"/>
    </font>
    <font>
      <sz val="11"/>
      <color theme="1"/>
      <name val="Calibri"/>
      <family val="2"/>
    </font>
    <font>
      <b/>
      <sz val="12"/>
      <color theme="1"/>
      <name val="Times New Roman"/>
      <family val="1"/>
    </font>
    <font>
      <b/>
      <sz val="12"/>
      <color rgb="FFFFFFFF"/>
      <name val="Times New Roman"/>
      <family val="1"/>
    </font>
    <font>
      <sz val="12"/>
      <color theme="1"/>
      <name val="Times New Roman"/>
      <family val="1"/>
    </font>
    <font>
      <sz val="12"/>
      <color rgb="FF1F497D"/>
      <name val="Times New Roman"/>
      <family val="1"/>
    </font>
    <font>
      <sz val="11"/>
      <color theme="1"/>
      <name val="Times  New Roman"/>
      <charset val="163"/>
    </font>
    <font>
      <sz val="12"/>
      <color rgb="FF000000"/>
      <name val="Times New Roman"/>
      <family val="1"/>
    </font>
    <font>
      <sz val="11"/>
      <color rgb="FF000000"/>
      <name val="Times  New Roman"/>
      <charset val="163"/>
    </font>
    <font>
      <sz val="11"/>
      <color theme="1"/>
      <name val="Aptos Narrow"/>
      <family val="2"/>
      <charset val="163"/>
      <scheme val="minor"/>
    </font>
    <font>
      <sz val="12"/>
      <color theme="1"/>
      <name val="Aptos Narrow"/>
      <family val="2"/>
      <charset val="163"/>
      <scheme val="minor"/>
    </font>
    <font>
      <sz val="12"/>
      <color theme="0"/>
      <name val="Times New Roman"/>
      <family val="1"/>
    </font>
    <font>
      <b/>
      <sz val="11"/>
      <color rgb="FF00B050"/>
      <name val="Aptos Narrow"/>
    </font>
  </fonts>
  <fills count="9">
    <fill>
      <patternFill patternType="none"/>
    </fill>
    <fill>
      <patternFill patternType="gray125"/>
    </fill>
    <fill>
      <patternFill patternType="solid">
        <fgColor rgb="FFFFFFFF"/>
        <bgColor indexed="64"/>
      </patternFill>
    </fill>
    <fill>
      <patternFill patternType="solid">
        <fgColor rgb="FF2E75B5"/>
        <bgColor indexed="64"/>
      </patternFill>
    </fill>
    <fill>
      <patternFill patternType="solid">
        <fgColor rgb="FFCCFFCC"/>
        <bgColor indexed="64"/>
      </patternFill>
    </fill>
    <fill>
      <patternFill patternType="solid">
        <fgColor rgb="FF2F5496"/>
        <bgColor indexed="64"/>
      </patternFill>
    </fill>
    <fill>
      <patternFill patternType="solid">
        <fgColor theme="0"/>
        <bgColor indexed="64"/>
      </patternFill>
    </fill>
    <fill>
      <patternFill patternType="solid">
        <fgColor rgb="FFFFFFFF"/>
        <bgColor rgb="FF000000"/>
      </patternFill>
    </fill>
    <fill>
      <patternFill patternType="solid">
        <fgColor theme="3" tint="0.249977111117893"/>
        <bgColor indexed="64"/>
      </patternFill>
    </fill>
  </fills>
  <borders count="20">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
      <left style="medium">
        <color rgb="FF000000"/>
      </left>
      <right style="medium">
        <color rgb="FF000000"/>
      </right>
      <top style="medium">
        <color rgb="FFCCCCCC"/>
      </top>
      <bottom style="medium">
        <color rgb="FF000000"/>
      </bottom>
      <diagonal/>
    </border>
    <border>
      <left style="medium">
        <color rgb="FFA8D08D"/>
      </left>
      <right style="medium">
        <color rgb="FFA8D08D"/>
      </right>
      <top/>
      <bottom style="medium">
        <color rgb="FFA8D08D"/>
      </bottom>
      <diagonal/>
    </border>
    <border>
      <left style="medium">
        <color rgb="FFCCCCCC"/>
      </left>
      <right style="medium">
        <color rgb="FFA8D08D"/>
      </right>
      <top style="medium">
        <color rgb="FFCCCCCC"/>
      </top>
      <bottom style="medium">
        <color rgb="FFA8D08D"/>
      </bottom>
      <diagonal/>
    </border>
    <border>
      <left style="medium">
        <color rgb="FFCCCCCC"/>
      </left>
      <right style="medium">
        <color rgb="FFCCCCCC"/>
      </right>
      <top/>
      <bottom style="medium">
        <color rgb="FFCCCCCC"/>
      </bottom>
      <diagonal/>
    </border>
    <border>
      <left style="medium">
        <color rgb="FFA8D08D"/>
      </left>
      <right style="medium">
        <color rgb="FFCCCCCC"/>
      </right>
      <top/>
      <bottom style="medium">
        <color rgb="FFA8D08D"/>
      </bottom>
      <diagonal/>
    </border>
    <border>
      <left style="medium">
        <color rgb="FFCCCCCC"/>
      </left>
      <right/>
      <top/>
      <bottom style="medium">
        <color rgb="FFCCCCCC"/>
      </bottom>
      <diagonal/>
    </border>
    <border>
      <left style="medium">
        <color rgb="FFCCCCCC"/>
      </left>
      <right/>
      <top style="medium">
        <color rgb="FF000000"/>
      </top>
      <bottom style="medium">
        <color rgb="FF000000"/>
      </bottom>
      <diagonal/>
    </border>
    <border>
      <left style="medium">
        <color rgb="FFCCCCCC"/>
      </left>
      <right/>
      <top style="medium">
        <color rgb="FFCCCCCC"/>
      </top>
      <bottom style="medium">
        <color rgb="FF000000"/>
      </bottom>
      <diagonal/>
    </border>
    <border>
      <left style="medium">
        <color rgb="FFCCCCCC"/>
      </left>
      <right style="medium">
        <color rgb="FFA8D08D"/>
      </right>
      <top/>
      <bottom style="medium">
        <color rgb="FFA8D08D"/>
      </bottom>
      <diagonal/>
    </border>
    <border>
      <left/>
      <right style="medium">
        <color rgb="FFCCCCCC"/>
      </right>
      <top style="medium">
        <color rgb="FFCCCCCC"/>
      </top>
      <bottom style="medium">
        <color rgb="FFCCCCCC"/>
      </bottom>
      <diagonal/>
    </border>
    <border>
      <left style="thin">
        <color indexed="64"/>
      </left>
      <right style="thin">
        <color indexed="64"/>
      </right>
      <top style="thin">
        <color indexed="64"/>
      </top>
      <bottom style="thin">
        <color indexed="64"/>
      </bottom>
      <diagonal/>
    </border>
    <border>
      <left style="thin">
        <color theme="2" tint="-9.9978637043366805E-2"/>
      </left>
      <right/>
      <top style="thin">
        <color theme="2" tint="-9.9978637043366805E-2"/>
      </top>
      <bottom/>
      <diagonal/>
    </border>
    <border>
      <left/>
      <right style="thin">
        <color theme="2" tint="-9.9978637043366805E-2"/>
      </right>
      <top style="thin">
        <color theme="2" tint="-9.9978637043366805E-2"/>
      </top>
      <bottom/>
      <diagonal/>
    </border>
    <border>
      <left style="thin">
        <color theme="2" tint="-9.9978637043366805E-2"/>
      </left>
      <right/>
      <top/>
      <bottom style="thin">
        <color theme="2" tint="-9.9978637043366805E-2"/>
      </bottom>
      <diagonal/>
    </border>
    <border>
      <left/>
      <right style="thin">
        <color theme="2" tint="-9.9978637043366805E-2"/>
      </right>
      <top/>
      <bottom style="thin">
        <color theme="2" tint="-9.9978637043366805E-2"/>
      </bottom>
      <diagonal/>
    </border>
    <border>
      <left/>
      <right/>
      <top/>
      <bottom style="thin">
        <color theme="2" tint="-9.9978637043366805E-2"/>
      </bottom>
      <diagonal/>
    </border>
    <border>
      <left style="medium">
        <color rgb="FFA8D08D"/>
      </left>
      <right style="medium">
        <color rgb="FFA8D08D"/>
      </right>
      <top style="medium">
        <color rgb="FF000000"/>
      </top>
      <bottom style="medium">
        <color rgb="FFA8D08D"/>
      </bottom>
      <diagonal/>
    </border>
  </borders>
  <cellStyleXfs count="2">
    <xf numFmtId="0" fontId="0" fillId="0" borderId="0"/>
    <xf numFmtId="9" fontId="10" fillId="0" borderId="0"/>
  </cellStyleXfs>
  <cellXfs count="49">
    <xf numFmtId="0" fontId="0" fillId="0" borderId="0" xfId="0"/>
    <xf numFmtId="0" fontId="1" fillId="2" borderId="1" xfId="0" applyFont="1" applyFill="1" applyBorder="1" applyAlignment="1">
      <alignment vertical="center" wrapText="1"/>
    </xf>
    <xf numFmtId="0" fontId="3" fillId="2" borderId="3" xfId="0" applyFont="1" applyFill="1" applyBorder="1" applyAlignment="1">
      <alignment vertical="center" wrapText="1"/>
    </xf>
    <xf numFmtId="0" fontId="2" fillId="3" borderId="3" xfId="0" applyFont="1" applyFill="1" applyBorder="1" applyAlignment="1">
      <alignment vertical="center" wrapText="1"/>
    </xf>
    <xf numFmtId="0" fontId="3" fillId="4" borderId="3" xfId="0" applyFont="1" applyFill="1" applyBorder="1" applyAlignment="1">
      <alignment vertical="center" wrapText="1"/>
    </xf>
    <xf numFmtId="0" fontId="4" fillId="5" borderId="2" xfId="0" applyFont="1" applyFill="1" applyBorder="1" applyAlignment="1">
      <alignment horizontal="center" vertical="center" wrapText="1"/>
    </xf>
    <xf numFmtId="0" fontId="2" fillId="5" borderId="5" xfId="0" applyFont="1" applyFill="1" applyBorder="1" applyAlignment="1">
      <alignment vertical="center" wrapText="1"/>
    </xf>
    <xf numFmtId="0" fontId="5" fillId="2" borderId="2" xfId="0" applyFont="1" applyFill="1" applyBorder="1" applyAlignment="1">
      <alignment vertical="center" wrapText="1"/>
    </xf>
    <xf numFmtId="0" fontId="2" fillId="2" borderId="2" xfId="0" applyFont="1" applyFill="1" applyBorder="1" applyAlignment="1">
      <alignment vertical="center" wrapText="1"/>
    </xf>
    <xf numFmtId="0" fontId="2" fillId="2" borderId="9" xfId="0" applyFont="1" applyFill="1" applyBorder="1" applyAlignment="1">
      <alignment vertical="center" wrapText="1"/>
    </xf>
    <xf numFmtId="0" fontId="2" fillId="2" borderId="10" xfId="0" applyFont="1" applyFill="1" applyBorder="1" applyAlignment="1">
      <alignment vertical="center" wrapText="1"/>
    </xf>
    <xf numFmtId="0" fontId="4" fillId="3" borderId="10" xfId="0" applyFont="1" applyFill="1" applyBorder="1" applyAlignment="1">
      <alignment horizontal="center" vertical="center" wrapText="1"/>
    </xf>
    <xf numFmtId="0" fontId="3" fillId="4" borderId="10" xfId="0" applyFont="1" applyFill="1" applyBorder="1" applyAlignment="1">
      <alignment horizontal="center" vertical="center" wrapText="1"/>
    </xf>
    <xf numFmtId="0" fontId="5" fillId="2" borderId="10" xfId="0" applyFont="1" applyFill="1" applyBorder="1" applyAlignment="1">
      <alignment horizontal="center" vertical="center" wrapText="1"/>
    </xf>
    <xf numFmtId="0" fontId="4" fillId="5" borderId="11" xfId="0" applyFont="1" applyFill="1" applyBorder="1" applyAlignment="1">
      <alignment horizontal="center" vertical="center" wrapText="1"/>
    </xf>
    <xf numFmtId="0" fontId="2" fillId="2" borderId="0" xfId="0" applyFont="1" applyFill="1" applyAlignment="1">
      <alignment vertical="center" wrapText="1"/>
    </xf>
    <xf numFmtId="0" fontId="3" fillId="2" borderId="0" xfId="0" applyFont="1" applyFill="1" applyAlignment="1">
      <alignment vertical="center" wrapText="1"/>
    </xf>
    <xf numFmtId="0" fontId="1" fillId="2" borderId="0" xfId="0" applyFont="1" applyFill="1" applyAlignment="1">
      <alignment vertical="center"/>
    </xf>
    <xf numFmtId="0" fontId="6" fillId="2" borderId="0" xfId="0" applyFont="1" applyFill="1" applyAlignment="1">
      <alignment vertical="center"/>
    </xf>
    <xf numFmtId="0" fontId="7" fillId="2" borderId="2" xfId="0" applyFont="1" applyFill="1" applyBorder="1" applyAlignment="1">
      <alignment vertical="center" wrapText="1"/>
    </xf>
    <xf numFmtId="0" fontId="2" fillId="2" borderId="0" xfId="0" applyFont="1" applyFill="1" applyAlignment="1">
      <alignment horizontal="center" vertical="center" wrapText="1"/>
    </xf>
    <xf numFmtId="0" fontId="5" fillId="2" borderId="2" xfId="0" applyFont="1" applyFill="1" applyBorder="1" applyAlignment="1">
      <alignment horizontal="center" vertical="center" wrapText="1"/>
    </xf>
    <xf numFmtId="0" fontId="0" fillId="0" borderId="0" xfId="0" applyAlignment="1">
      <alignment horizontal="center"/>
    </xf>
    <xf numFmtId="0" fontId="8" fillId="7" borderId="2" xfId="0" applyFont="1" applyFill="1" applyBorder="1" applyAlignment="1">
      <alignment vertical="center" wrapText="1"/>
    </xf>
    <xf numFmtId="0" fontId="8" fillId="7" borderId="12" xfId="0" applyFont="1" applyFill="1" applyBorder="1" applyAlignment="1">
      <alignment vertical="center" wrapText="1"/>
    </xf>
    <xf numFmtId="0" fontId="9" fillId="7" borderId="12" xfId="0" applyFont="1" applyFill="1" applyBorder="1" applyAlignment="1">
      <alignment vertical="center" wrapText="1"/>
    </xf>
    <xf numFmtId="0" fontId="8" fillId="7" borderId="12" xfId="0" applyFont="1" applyFill="1" applyBorder="1" applyAlignment="1">
      <alignment horizontal="center" vertical="center" wrapText="1"/>
    </xf>
    <xf numFmtId="0" fontId="4" fillId="5" borderId="8" xfId="0" applyFont="1" applyFill="1" applyBorder="1" applyAlignment="1">
      <alignment horizontal="center" vertical="center" wrapText="1"/>
    </xf>
    <xf numFmtId="0" fontId="11" fillId="0" borderId="0" xfId="0" applyFont="1"/>
    <xf numFmtId="0" fontId="11" fillId="0" borderId="0" xfId="0" applyFont="1" applyAlignment="1">
      <alignment horizontal="center" wrapText="1"/>
    </xf>
    <xf numFmtId="0" fontId="11" fillId="0" borderId="14" xfId="0" applyFont="1" applyBorder="1"/>
    <xf numFmtId="0" fontId="11" fillId="0" borderId="15" xfId="0" applyFont="1" applyBorder="1"/>
    <xf numFmtId="0" fontId="11" fillId="0" borderId="16" xfId="0" applyFont="1" applyBorder="1"/>
    <xf numFmtId="0" fontId="11" fillId="0" borderId="17" xfId="0" applyFont="1" applyBorder="1"/>
    <xf numFmtId="0" fontId="11" fillId="0" borderId="18" xfId="0" applyFont="1" applyBorder="1"/>
    <xf numFmtId="0" fontId="12" fillId="8" borderId="13" xfId="0" applyFont="1" applyFill="1" applyBorder="1" applyAlignment="1">
      <alignment horizontal="center" vertical="center" wrapText="1"/>
    </xf>
    <xf numFmtId="0" fontId="5" fillId="0" borderId="13" xfId="0" applyFont="1" applyBorder="1" applyAlignment="1">
      <alignment horizontal="center" vertical="center" wrapText="1"/>
    </xf>
    <xf numFmtId="9" fontId="5" fillId="0" borderId="13" xfId="1" applyFont="1" applyBorder="1" applyAlignment="1">
      <alignment horizontal="center" vertical="center" wrapText="1"/>
    </xf>
    <xf numFmtId="0" fontId="5" fillId="0" borderId="13" xfId="0" applyFont="1" applyBorder="1" applyAlignment="1">
      <alignment horizontal="left" wrapText="1"/>
    </xf>
    <xf numFmtId="0" fontId="3" fillId="0" borderId="13" xfId="0" applyFont="1" applyBorder="1" applyAlignment="1">
      <alignment horizontal="left" wrapText="1"/>
    </xf>
    <xf numFmtId="0" fontId="13" fillId="0" borderId="0" xfId="0" applyFont="1"/>
    <xf numFmtId="0" fontId="13" fillId="6" borderId="2" xfId="0" applyFont="1" applyFill="1" applyBorder="1" applyAlignment="1">
      <alignment vertical="center" wrapText="1"/>
    </xf>
    <xf numFmtId="0" fontId="4" fillId="5" borderId="19" xfId="0" applyFont="1" applyFill="1" applyBorder="1" applyAlignment="1">
      <alignment horizontal="center" vertical="center" wrapText="1"/>
    </xf>
    <xf numFmtId="0" fontId="0" fillId="0" borderId="4" xfId="0" applyBorder="1"/>
    <xf numFmtId="0" fontId="4" fillId="5" borderId="4" xfId="0" applyFont="1" applyFill="1" applyBorder="1" applyAlignment="1">
      <alignment horizontal="center" vertical="center" wrapText="1"/>
    </xf>
    <xf numFmtId="0" fontId="4" fillId="5" borderId="7" xfId="0" applyFont="1" applyFill="1" applyBorder="1" applyAlignment="1">
      <alignment horizontal="center" vertical="center" wrapText="1"/>
    </xf>
    <xf numFmtId="0" fontId="0" fillId="0" borderId="7" xfId="0" applyBorder="1"/>
    <xf numFmtId="0" fontId="4" fillId="5" borderId="6" xfId="0" applyFont="1" applyFill="1" applyBorder="1" applyAlignment="1">
      <alignment horizontal="center" vertical="center" wrapText="1"/>
    </xf>
    <xf numFmtId="0" fontId="0" fillId="0" borderId="6" xfId="0" applyBorder="1"/>
  </cellXfs>
  <cellStyles count="2">
    <cellStyle name="Normal" xfId="0" builtinId="0"/>
    <cellStyle name="Percent" xfId="1" builtinId="5"/>
  </cellStyles>
  <dxfs count="30">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theme="7" tint="0.59996337778862885"/>
      </font>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theme="7" tint="0.59996337778862885"/>
      </font>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theme="7" tint="0.59996337778862885"/>
      </font>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theme="7" tint="0.59996337778862885"/>
      </font>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theme="7" tint="0.59996337778862885"/>
      </font>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theme="7" tint="0.59996337778862885"/>
      </font>
    </dxf>
    <dxf>
      <font>
        <color rgb="FF9C5700"/>
      </font>
      <fill>
        <patternFill>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tint="0.749992370372631"/>
  </sheetPr>
  <dimension ref="A1:J19"/>
  <sheetViews>
    <sheetView tabSelected="1" topLeftCell="A6" zoomScale="73" zoomScaleNormal="85" workbookViewId="0">
      <selection activeCell="D6" sqref="D6"/>
    </sheetView>
  </sheetViews>
  <sheetFormatPr defaultRowHeight="14.4"/>
  <cols>
    <col min="1" max="1" width="15.21875" customWidth="1"/>
    <col min="2" max="2" width="32" customWidth="1"/>
    <col min="3" max="3" width="28" customWidth="1"/>
    <col min="4" max="4" width="21" customWidth="1"/>
    <col min="5" max="5" width="39.33203125" customWidth="1"/>
    <col min="6" max="6" width="48.6640625" customWidth="1"/>
    <col min="7" max="7" width="12.77734375" customWidth="1"/>
    <col min="8" max="8" width="13.44140625" customWidth="1"/>
    <col min="9" max="9" width="13.33203125" customWidth="1"/>
    <col min="10" max="10" width="17" customWidth="1"/>
  </cols>
  <sheetData>
    <row r="1" spans="1:10" ht="16.2" customHeight="1" thickBot="1">
      <c r="A1" s="1" t="s">
        <v>0</v>
      </c>
      <c r="B1" s="9"/>
      <c r="C1" s="15"/>
      <c r="D1" s="15"/>
      <c r="E1" s="15"/>
      <c r="F1" s="15"/>
      <c r="G1" s="15"/>
      <c r="H1" s="15"/>
      <c r="I1" s="15"/>
      <c r="J1" s="15"/>
    </row>
    <row r="2" spans="1:10" ht="16.2" customHeight="1" thickBot="1">
      <c r="A2" s="2" t="s">
        <v>1</v>
      </c>
      <c r="B2" s="10"/>
      <c r="C2" s="15"/>
      <c r="D2" s="15"/>
      <c r="E2" s="15"/>
      <c r="F2" s="15"/>
      <c r="G2" s="15"/>
      <c r="H2" s="15"/>
      <c r="I2" s="15"/>
      <c r="J2" s="15"/>
    </row>
    <row r="3" spans="1:10" ht="19.8" customHeight="1" thickBot="1">
      <c r="A3" s="3"/>
      <c r="B3" s="11" t="s">
        <v>2</v>
      </c>
      <c r="D3" s="15"/>
      <c r="E3" s="16" t="s">
        <v>3</v>
      </c>
      <c r="F3" s="15"/>
      <c r="G3" s="15"/>
      <c r="H3" s="15"/>
      <c r="I3" s="15"/>
      <c r="J3" s="15"/>
    </row>
    <row r="4" spans="1:10" ht="20.399999999999999" customHeight="1" thickBot="1">
      <c r="A4" s="4" t="s">
        <v>4</v>
      </c>
      <c r="B4" s="12">
        <f>COUNTIFS(A10:A237,"TC*")</f>
        <v>10</v>
      </c>
      <c r="C4" s="15"/>
      <c r="D4" s="15"/>
      <c r="E4" s="15"/>
      <c r="F4" s="15"/>
      <c r="G4" s="15"/>
      <c r="H4" s="15"/>
      <c r="I4" s="15"/>
      <c r="J4" s="15"/>
    </row>
    <row r="5" spans="1:10" ht="16.2" customHeight="1" thickBot="1">
      <c r="A5" s="2" t="s">
        <v>5</v>
      </c>
      <c r="B5" s="13">
        <f>COUNTIF(H10:H237,"Passed")</f>
        <v>10</v>
      </c>
      <c r="C5" s="17" t="s">
        <v>6</v>
      </c>
      <c r="D5" s="15"/>
      <c r="E5" s="15"/>
      <c r="F5" s="15"/>
      <c r="G5" s="15"/>
      <c r="H5" s="15"/>
      <c r="I5" s="15"/>
      <c r="J5" s="15"/>
    </row>
    <row r="6" spans="1:10" ht="16.2" customHeight="1" thickBot="1">
      <c r="A6" s="2" t="s">
        <v>7</v>
      </c>
      <c r="B6" s="13">
        <f>COUNTIF(H10:H237,"Failed")</f>
        <v>0</v>
      </c>
      <c r="C6" s="17" t="s">
        <v>8</v>
      </c>
      <c r="D6" s="15"/>
      <c r="E6" s="15"/>
      <c r="F6" s="15"/>
      <c r="G6" s="15"/>
      <c r="H6" s="15"/>
      <c r="I6" s="15"/>
      <c r="J6" s="15"/>
    </row>
    <row r="7" spans="1:10" ht="16.2" customHeight="1" thickBot="1">
      <c r="A7" s="2" t="s">
        <v>9</v>
      </c>
      <c r="B7" s="13">
        <f>COUNTIF(H10:H237,"Skipped")</f>
        <v>0</v>
      </c>
      <c r="C7" s="18" t="s">
        <v>10</v>
      </c>
      <c r="D7" s="15"/>
      <c r="E7" s="15"/>
      <c r="F7" s="15"/>
      <c r="G7" s="15"/>
      <c r="H7" s="15"/>
      <c r="I7" s="15"/>
      <c r="J7" s="15"/>
    </row>
    <row r="8" spans="1:10" ht="39.6" customHeight="1" thickBot="1">
      <c r="A8" s="42" t="s">
        <v>11</v>
      </c>
      <c r="B8" s="42" t="s">
        <v>12</v>
      </c>
      <c r="C8" s="44" t="s">
        <v>13</v>
      </c>
      <c r="D8" s="44" t="s">
        <v>14</v>
      </c>
      <c r="E8" s="44" t="s">
        <v>15</v>
      </c>
      <c r="F8" s="45" t="s">
        <v>16</v>
      </c>
      <c r="G8" s="47" t="s">
        <v>17</v>
      </c>
      <c r="H8" s="27" t="s">
        <v>18</v>
      </c>
      <c r="I8" s="14" t="s">
        <v>19</v>
      </c>
      <c r="J8" s="14" t="s">
        <v>20</v>
      </c>
    </row>
    <row r="9" spans="1:10" ht="16.2" customHeight="1" thickBot="1">
      <c r="A9" s="43"/>
      <c r="B9" s="43"/>
      <c r="C9" s="43"/>
      <c r="D9" s="43"/>
      <c r="E9" s="43"/>
      <c r="F9" s="46"/>
      <c r="G9" s="48"/>
      <c r="H9" s="5" t="s">
        <v>21</v>
      </c>
      <c r="I9" s="6"/>
      <c r="J9" s="6"/>
    </row>
    <row r="10" spans="1:10" ht="54.6" customHeight="1" thickBot="1">
      <c r="A10" s="7" t="s">
        <v>47</v>
      </c>
      <c r="B10" s="7" t="s">
        <v>48</v>
      </c>
      <c r="C10" s="7" t="s">
        <v>49</v>
      </c>
      <c r="D10" s="19" t="s">
        <v>50</v>
      </c>
      <c r="E10" s="7" t="s">
        <v>51</v>
      </c>
      <c r="F10" s="7" t="s">
        <v>52</v>
      </c>
      <c r="G10" s="7" t="s">
        <v>27</v>
      </c>
      <c r="H10" s="40" t="s">
        <v>5</v>
      </c>
      <c r="I10" s="8"/>
      <c r="J10" s="8"/>
    </row>
    <row r="11" spans="1:10" ht="51.6" customHeight="1" thickBot="1">
      <c r="A11" s="7" t="s">
        <v>53</v>
      </c>
      <c r="B11" s="7" t="s">
        <v>54</v>
      </c>
      <c r="C11" s="7" t="s">
        <v>55</v>
      </c>
      <c r="D11" s="19" t="s">
        <v>56</v>
      </c>
      <c r="E11" s="7" t="s">
        <v>51</v>
      </c>
      <c r="F11" s="7" t="s">
        <v>57</v>
      </c>
      <c r="G11" s="7" t="s">
        <v>27</v>
      </c>
      <c r="H11" s="41" t="s">
        <v>5</v>
      </c>
      <c r="I11" s="8"/>
      <c r="J11" s="8"/>
    </row>
    <row r="12" spans="1:10" ht="57.6" customHeight="1" thickBot="1">
      <c r="A12" s="7" t="s">
        <v>58</v>
      </c>
      <c r="B12" s="7" t="s">
        <v>59</v>
      </c>
      <c r="C12" s="7"/>
      <c r="D12" s="7" t="s">
        <v>60</v>
      </c>
      <c r="E12" s="7" t="s">
        <v>51</v>
      </c>
      <c r="F12" s="7" t="s">
        <v>61</v>
      </c>
      <c r="G12" s="7" t="s">
        <v>27</v>
      </c>
      <c r="H12" s="41" t="s">
        <v>5</v>
      </c>
      <c r="I12" s="8"/>
      <c r="J12" s="8"/>
    </row>
    <row r="13" spans="1:10" ht="50.4" customHeight="1" thickBot="1">
      <c r="A13" s="7" t="s">
        <v>62</v>
      </c>
      <c r="B13" s="7" t="s">
        <v>63</v>
      </c>
      <c r="C13" s="7"/>
      <c r="D13" s="7" t="s">
        <v>64</v>
      </c>
      <c r="E13" s="7" t="s">
        <v>51</v>
      </c>
      <c r="F13" s="7" t="s">
        <v>61</v>
      </c>
      <c r="G13" s="7" t="s">
        <v>27</v>
      </c>
      <c r="H13" s="41" t="s">
        <v>5</v>
      </c>
      <c r="I13" s="8"/>
      <c r="J13" s="8"/>
    </row>
    <row r="14" spans="1:10" ht="48" customHeight="1" thickBot="1">
      <c r="A14" s="7" t="s">
        <v>65</v>
      </c>
      <c r="B14" s="7" t="s">
        <v>66</v>
      </c>
      <c r="C14" s="7"/>
      <c r="D14" s="7" t="s">
        <v>67</v>
      </c>
      <c r="E14" s="7" t="s">
        <v>51</v>
      </c>
      <c r="F14" s="7" t="s">
        <v>61</v>
      </c>
      <c r="G14" s="7" t="s">
        <v>41</v>
      </c>
      <c r="H14" s="41" t="s">
        <v>5</v>
      </c>
      <c r="I14" s="8"/>
      <c r="J14" s="8"/>
    </row>
    <row r="15" spans="1:10" ht="54" customHeight="1" thickBot="1">
      <c r="A15" s="7" t="s">
        <v>68</v>
      </c>
      <c r="B15" s="7" t="s">
        <v>69</v>
      </c>
      <c r="C15" s="7"/>
      <c r="D15" s="7" t="s">
        <v>70</v>
      </c>
      <c r="E15" s="7" t="s">
        <v>51</v>
      </c>
      <c r="F15" s="7" t="s">
        <v>71</v>
      </c>
      <c r="G15" s="7" t="s">
        <v>41</v>
      </c>
      <c r="H15" s="41" t="s">
        <v>5</v>
      </c>
      <c r="I15" s="8"/>
      <c r="J15" s="8"/>
    </row>
    <row r="16" spans="1:10" ht="53.4" customHeight="1" thickBot="1">
      <c r="A16" s="7" t="s">
        <v>72</v>
      </c>
      <c r="B16" s="7" t="s">
        <v>73</v>
      </c>
      <c r="C16" s="7"/>
      <c r="D16" s="7" t="s">
        <v>74</v>
      </c>
      <c r="E16" s="7" t="s">
        <v>51</v>
      </c>
      <c r="F16" s="7" t="s">
        <v>75</v>
      </c>
      <c r="G16" s="7" t="s">
        <v>41</v>
      </c>
      <c r="H16" s="41" t="s">
        <v>5</v>
      </c>
      <c r="I16" s="8"/>
      <c r="J16" s="8"/>
    </row>
    <row r="17" spans="1:10" ht="53.4" customHeight="1" thickBot="1">
      <c r="A17" s="7" t="s">
        <v>76</v>
      </c>
      <c r="B17" s="7" t="s">
        <v>77</v>
      </c>
      <c r="C17" s="7"/>
      <c r="D17" s="7"/>
      <c r="E17" s="7" t="s">
        <v>51</v>
      </c>
      <c r="F17" s="7" t="s">
        <v>78</v>
      </c>
      <c r="G17" s="7" t="s">
        <v>79</v>
      </c>
      <c r="H17" s="41" t="s">
        <v>5</v>
      </c>
      <c r="I17" s="8"/>
      <c r="J17" s="8"/>
    </row>
    <row r="18" spans="1:10" ht="41.4" customHeight="1" thickBot="1">
      <c r="A18" s="7" t="s">
        <v>80</v>
      </c>
      <c r="B18" s="7" t="s">
        <v>81</v>
      </c>
      <c r="C18" s="7"/>
      <c r="D18" s="7"/>
      <c r="E18" s="7" t="s">
        <v>219</v>
      </c>
      <c r="F18" s="7" t="s">
        <v>82</v>
      </c>
      <c r="G18" s="7" t="s">
        <v>79</v>
      </c>
      <c r="H18" s="41" t="s">
        <v>5</v>
      </c>
      <c r="I18" s="8"/>
      <c r="J18" s="8"/>
    </row>
    <row r="19" spans="1:10" ht="52.2" customHeight="1" thickBot="1">
      <c r="A19" s="7" t="s">
        <v>83</v>
      </c>
      <c r="B19" s="7" t="s">
        <v>84</v>
      </c>
      <c r="C19" s="7"/>
      <c r="D19" s="7"/>
      <c r="E19" s="7" t="s">
        <v>51</v>
      </c>
      <c r="F19" s="7" t="s">
        <v>85</v>
      </c>
      <c r="G19" s="7" t="s">
        <v>79</v>
      </c>
      <c r="H19" s="41" t="s">
        <v>5</v>
      </c>
      <c r="I19" s="8"/>
      <c r="J19" s="8"/>
    </row>
  </sheetData>
  <mergeCells count="7">
    <mergeCell ref="A8:A9"/>
    <mergeCell ref="E8:E9"/>
    <mergeCell ref="C8:C9"/>
    <mergeCell ref="F8:F9"/>
    <mergeCell ref="G8:G9"/>
    <mergeCell ref="D8:D9"/>
    <mergeCell ref="B8:B9"/>
  </mergeCells>
  <conditionalFormatting sqref="H10:H19">
    <cfRule type="cellIs" dxfId="29" priority="1" operator="equal">
      <formula>"Pending"</formula>
    </cfRule>
    <cfRule type="cellIs" dxfId="28" priority="2" operator="equal">
      <formula>"Wait"</formula>
    </cfRule>
    <cfRule type="cellIs" dxfId="27" priority="3" operator="equal">
      <formula>"Accepted"</formula>
    </cfRule>
    <cfRule type="cellIs" dxfId="26" priority="4" operator="equal">
      <formula>"Failed"</formula>
    </cfRule>
    <cfRule type="cellIs" dxfId="25" priority="5" operator="equal">
      <formula>"Passed"</formula>
    </cfRule>
  </conditionalFormatting>
  <dataValidations count="1">
    <dataValidation type="list" allowBlank="1" showInputMessage="1" showErrorMessage="1" sqref="H10:H19" xr:uid="{00000000-0002-0000-0000-000000000000}">
      <formula1>"Passed, Failed, Pending"</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6" tint="0.59999389629810485"/>
  </sheetPr>
  <dimension ref="A1:J15"/>
  <sheetViews>
    <sheetView topLeftCell="A5" zoomScale="85" zoomScaleNormal="85" workbookViewId="0">
      <selection activeCell="H17" sqref="H17"/>
    </sheetView>
  </sheetViews>
  <sheetFormatPr defaultRowHeight="14.4"/>
  <cols>
    <col min="1" max="1" width="16.33203125" customWidth="1"/>
    <col min="2" max="2" width="33.21875" customWidth="1"/>
    <col min="3" max="3" width="32.6640625" customWidth="1"/>
    <col min="4" max="4" width="45.6640625" customWidth="1"/>
    <col min="5" max="5" width="36.5546875" customWidth="1"/>
    <col min="6" max="6" width="42.88671875" customWidth="1"/>
    <col min="7" max="7" width="10.5546875" customWidth="1"/>
  </cols>
  <sheetData>
    <row r="1" spans="1:10" ht="16.2" customHeight="1" thickBot="1">
      <c r="A1" s="1" t="s">
        <v>0</v>
      </c>
      <c r="B1" s="9"/>
      <c r="C1" s="15"/>
      <c r="D1" s="15"/>
      <c r="E1" s="15"/>
      <c r="F1" s="15"/>
      <c r="G1" s="15"/>
      <c r="H1" s="15"/>
      <c r="I1" s="15"/>
      <c r="J1" s="15"/>
    </row>
    <row r="2" spans="1:10" ht="16.2" customHeight="1" thickBot="1">
      <c r="A2" s="2" t="s">
        <v>1</v>
      </c>
      <c r="B2" s="10"/>
      <c r="C2" s="15"/>
      <c r="D2" s="15"/>
      <c r="E2" s="15"/>
      <c r="F2" s="15"/>
      <c r="G2" s="15"/>
      <c r="H2" s="15"/>
      <c r="I2" s="15"/>
      <c r="J2" s="15"/>
    </row>
    <row r="3" spans="1:10" ht="18" customHeight="1" thickBot="1">
      <c r="A3" s="3"/>
      <c r="B3" s="11" t="s">
        <v>2</v>
      </c>
      <c r="D3" s="15"/>
      <c r="E3" s="16" t="s">
        <v>3</v>
      </c>
      <c r="F3" s="15"/>
      <c r="G3" s="15"/>
      <c r="H3" s="15"/>
      <c r="I3" s="15"/>
      <c r="J3" s="15"/>
    </row>
    <row r="4" spans="1:10" ht="26.4" customHeight="1" thickBot="1">
      <c r="A4" s="4" t="s">
        <v>4</v>
      </c>
      <c r="B4" s="12">
        <f>COUNTIFS(A10:A237,"TC*")</f>
        <v>6</v>
      </c>
      <c r="C4" s="15"/>
      <c r="D4" s="15"/>
      <c r="E4" s="15"/>
      <c r="F4" s="15"/>
      <c r="G4" s="15"/>
      <c r="H4" s="15"/>
      <c r="I4" s="15"/>
      <c r="J4" s="15"/>
    </row>
    <row r="5" spans="1:10" ht="16.2" customHeight="1" thickBot="1">
      <c r="A5" s="2" t="s">
        <v>5</v>
      </c>
      <c r="B5" s="13">
        <f>COUNTIF(H10:H237,"Passed")</f>
        <v>6</v>
      </c>
      <c r="C5" s="17" t="s">
        <v>6</v>
      </c>
      <c r="D5" s="15"/>
      <c r="E5" s="15"/>
      <c r="F5" s="15"/>
      <c r="G5" s="15"/>
      <c r="H5" s="15"/>
      <c r="I5" s="15"/>
      <c r="J5" s="15"/>
    </row>
    <row r="6" spans="1:10" ht="16.2" customHeight="1" thickBot="1">
      <c r="A6" s="2" t="s">
        <v>7</v>
      </c>
      <c r="B6" s="13">
        <v>0</v>
      </c>
      <c r="C6" s="17" t="s">
        <v>8</v>
      </c>
      <c r="D6" s="15"/>
      <c r="E6" s="15"/>
      <c r="F6" s="15"/>
      <c r="G6" s="15"/>
      <c r="H6" s="15"/>
      <c r="I6" s="15"/>
      <c r="J6" s="15"/>
    </row>
    <row r="7" spans="1:10" ht="16.2" customHeight="1" thickBot="1">
      <c r="A7" s="2" t="s">
        <v>9</v>
      </c>
      <c r="B7" s="13">
        <f>COUNTIF(H10:H237,"Skipped")</f>
        <v>0</v>
      </c>
      <c r="C7" s="18" t="s">
        <v>10</v>
      </c>
      <c r="D7" s="15"/>
      <c r="E7" s="15"/>
      <c r="F7" s="15"/>
      <c r="G7" s="15"/>
      <c r="H7" s="15"/>
      <c r="I7" s="15"/>
      <c r="J7" s="15"/>
    </row>
    <row r="8" spans="1:10" ht="31.8" customHeight="1" thickBot="1">
      <c r="A8" s="42" t="s">
        <v>11</v>
      </c>
      <c r="B8" s="42" t="s">
        <v>12</v>
      </c>
      <c r="C8" s="44" t="s">
        <v>13</v>
      </c>
      <c r="D8" s="44" t="s">
        <v>14</v>
      </c>
      <c r="E8" s="44" t="s">
        <v>15</v>
      </c>
      <c r="F8" s="45" t="s">
        <v>16</v>
      </c>
      <c r="G8" s="47" t="s">
        <v>17</v>
      </c>
      <c r="H8" s="27" t="s">
        <v>18</v>
      </c>
      <c r="I8" s="14" t="s">
        <v>19</v>
      </c>
      <c r="J8" s="14" t="s">
        <v>20</v>
      </c>
    </row>
    <row r="9" spans="1:10" ht="16.2" customHeight="1" thickBot="1">
      <c r="A9" s="43"/>
      <c r="B9" s="43"/>
      <c r="C9" s="43"/>
      <c r="D9" s="43"/>
      <c r="E9" s="43"/>
      <c r="F9" s="46"/>
      <c r="G9" s="48"/>
      <c r="H9" s="5" t="s">
        <v>21</v>
      </c>
      <c r="I9" s="6"/>
      <c r="J9" s="6"/>
    </row>
    <row r="10" spans="1:10" ht="42" customHeight="1" thickBot="1">
      <c r="A10" s="23" t="s">
        <v>86</v>
      </c>
      <c r="B10" s="24" t="s">
        <v>87</v>
      </c>
      <c r="C10" s="24" t="s">
        <v>88</v>
      </c>
      <c r="D10" s="25"/>
      <c r="E10" s="24" t="s">
        <v>89</v>
      </c>
      <c r="F10" s="24" t="s">
        <v>90</v>
      </c>
      <c r="G10" s="24" t="s">
        <v>27</v>
      </c>
      <c r="H10" s="40" t="s">
        <v>5</v>
      </c>
      <c r="I10" s="8"/>
      <c r="J10" s="8"/>
    </row>
    <row r="11" spans="1:10" ht="142.19999999999999" customHeight="1" thickBot="1">
      <c r="A11" s="7" t="s">
        <v>91</v>
      </c>
      <c r="B11" s="7" t="s">
        <v>92</v>
      </c>
      <c r="C11" s="7" t="s">
        <v>93</v>
      </c>
      <c r="D11" s="19" t="s">
        <v>94</v>
      </c>
      <c r="E11" s="7" t="s">
        <v>95</v>
      </c>
      <c r="F11" s="7" t="s">
        <v>96</v>
      </c>
      <c r="G11" s="7" t="s">
        <v>27</v>
      </c>
      <c r="H11" s="41" t="s">
        <v>5</v>
      </c>
      <c r="I11" s="8"/>
      <c r="J11" s="8"/>
    </row>
    <row r="12" spans="1:10" ht="106.2" customHeight="1" thickBot="1">
      <c r="A12" s="7" t="s">
        <v>97</v>
      </c>
      <c r="B12" s="7" t="s">
        <v>98</v>
      </c>
      <c r="C12" s="7" t="s">
        <v>93</v>
      </c>
      <c r="D12" s="19" t="s">
        <v>99</v>
      </c>
      <c r="E12" s="7" t="s">
        <v>100</v>
      </c>
      <c r="F12" s="7" t="s">
        <v>101</v>
      </c>
      <c r="G12" s="7" t="s">
        <v>27</v>
      </c>
      <c r="H12" s="41" t="s">
        <v>5</v>
      </c>
      <c r="I12" s="8"/>
      <c r="J12" s="8"/>
    </row>
    <row r="13" spans="1:10" ht="54" customHeight="1" thickBot="1">
      <c r="A13" s="7" t="s">
        <v>102</v>
      </c>
      <c r="B13" s="7" t="s">
        <v>103</v>
      </c>
      <c r="C13" s="7" t="s">
        <v>93</v>
      </c>
      <c r="D13" s="7"/>
      <c r="E13" s="7" t="s">
        <v>104</v>
      </c>
      <c r="F13" s="7" t="s">
        <v>105</v>
      </c>
      <c r="G13" s="7" t="s">
        <v>27</v>
      </c>
      <c r="H13" s="41" t="s">
        <v>5</v>
      </c>
      <c r="I13" s="8"/>
      <c r="J13" s="8"/>
    </row>
    <row r="14" spans="1:10" ht="60" customHeight="1" thickBot="1">
      <c r="A14" s="7" t="s">
        <v>106</v>
      </c>
      <c r="B14" s="7" t="s">
        <v>107</v>
      </c>
      <c r="C14" s="7" t="s">
        <v>93</v>
      </c>
      <c r="D14" s="7" t="s">
        <v>108</v>
      </c>
      <c r="E14" s="7" t="s">
        <v>218</v>
      </c>
      <c r="F14" s="7" t="s">
        <v>109</v>
      </c>
      <c r="G14" s="7" t="s">
        <v>41</v>
      </c>
      <c r="H14" s="41" t="s">
        <v>5</v>
      </c>
      <c r="I14" s="8"/>
      <c r="J14" s="8"/>
    </row>
    <row r="15" spans="1:10" ht="39.6" customHeight="1" thickBot="1">
      <c r="A15" s="7" t="s">
        <v>110</v>
      </c>
      <c r="B15" s="7" t="s">
        <v>111</v>
      </c>
      <c r="C15" s="7" t="s">
        <v>93</v>
      </c>
      <c r="D15" s="7"/>
      <c r="E15" s="7" t="s">
        <v>217</v>
      </c>
      <c r="F15" s="7" t="s">
        <v>112</v>
      </c>
      <c r="G15" s="7" t="s">
        <v>41</v>
      </c>
      <c r="H15" s="41" t="s">
        <v>5</v>
      </c>
      <c r="I15" s="8"/>
      <c r="J15" s="8"/>
    </row>
  </sheetData>
  <mergeCells count="7">
    <mergeCell ref="A8:A9"/>
    <mergeCell ref="E8:E9"/>
    <mergeCell ref="C8:C9"/>
    <mergeCell ref="F8:F9"/>
    <mergeCell ref="G8:G9"/>
    <mergeCell ref="D8:D9"/>
    <mergeCell ref="B8:B9"/>
  </mergeCells>
  <conditionalFormatting sqref="H10:H15">
    <cfRule type="cellIs" dxfId="24" priority="1" operator="equal">
      <formula>"Pending"</formula>
    </cfRule>
    <cfRule type="cellIs" dxfId="23" priority="2" operator="equal">
      <formula>"Wait"</formula>
    </cfRule>
    <cfRule type="cellIs" dxfId="22" priority="3" operator="equal">
      <formula>"Accepted"</formula>
    </cfRule>
    <cfRule type="cellIs" dxfId="21" priority="4" operator="equal">
      <formula>"Failed"</formula>
    </cfRule>
    <cfRule type="cellIs" dxfId="20" priority="5" operator="equal">
      <formula>"Passed"</formula>
    </cfRule>
  </conditionalFormatting>
  <dataValidations count="1">
    <dataValidation type="list" allowBlank="1" showInputMessage="1" showErrorMessage="1" sqref="H10:H15" xr:uid="{00000000-0002-0000-0100-000000000000}">
      <formula1>"Passed, Failed, Pending"</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6" tint="0.59999389629810485"/>
  </sheetPr>
  <dimension ref="A1:J15"/>
  <sheetViews>
    <sheetView topLeftCell="A7" zoomScale="85" zoomScaleNormal="85" workbookViewId="0">
      <selection activeCell="D22" sqref="D22"/>
    </sheetView>
  </sheetViews>
  <sheetFormatPr defaultRowHeight="14.4"/>
  <cols>
    <col min="1" max="1" width="17.109375" customWidth="1"/>
    <col min="2" max="2" width="31.77734375" customWidth="1"/>
    <col min="3" max="3" width="29.5546875" customWidth="1"/>
    <col min="4" max="4" width="36" customWidth="1"/>
    <col min="5" max="5" width="35" customWidth="1"/>
    <col min="6" max="6" width="36" customWidth="1"/>
    <col min="7" max="7" width="11.88671875" style="22" customWidth="1"/>
  </cols>
  <sheetData>
    <row r="1" spans="1:10" ht="16.2" customHeight="1" thickBot="1">
      <c r="A1" s="1" t="s">
        <v>0</v>
      </c>
      <c r="B1" s="9"/>
      <c r="C1" s="15"/>
      <c r="D1" s="15"/>
      <c r="E1" s="15"/>
      <c r="F1" s="15"/>
      <c r="G1" s="20"/>
      <c r="H1" s="15"/>
      <c r="I1" s="15"/>
      <c r="J1" s="15"/>
    </row>
    <row r="2" spans="1:10" ht="16.2" customHeight="1" thickBot="1">
      <c r="A2" s="2" t="s">
        <v>1</v>
      </c>
      <c r="B2" s="10"/>
      <c r="C2" s="15"/>
      <c r="D2" s="15"/>
      <c r="E2" s="15"/>
      <c r="F2" s="15"/>
      <c r="G2" s="20"/>
      <c r="H2" s="15"/>
      <c r="I2" s="15"/>
      <c r="J2" s="15"/>
    </row>
    <row r="3" spans="1:10" ht="25.8" customHeight="1" thickBot="1">
      <c r="A3" s="3"/>
      <c r="B3" s="11" t="s">
        <v>2</v>
      </c>
      <c r="D3" s="15"/>
      <c r="E3" s="16" t="s">
        <v>3</v>
      </c>
      <c r="F3" s="15"/>
      <c r="G3" s="20"/>
      <c r="H3" s="15"/>
      <c r="I3" s="15"/>
      <c r="J3" s="15"/>
    </row>
    <row r="4" spans="1:10" ht="23.4" customHeight="1" thickBot="1">
      <c r="A4" s="4" t="s">
        <v>4</v>
      </c>
      <c r="B4" s="12">
        <f>COUNTIFS(A10:A237,"TC*")</f>
        <v>6</v>
      </c>
      <c r="C4" s="15"/>
      <c r="D4" s="15"/>
      <c r="E4" s="15"/>
      <c r="F4" s="15"/>
      <c r="G4" s="20"/>
      <c r="H4" s="15"/>
      <c r="I4" s="15"/>
      <c r="J4" s="15"/>
    </row>
    <row r="5" spans="1:10" ht="16.2" customHeight="1" thickBot="1">
      <c r="A5" s="2" t="s">
        <v>5</v>
      </c>
      <c r="B5" s="13">
        <f>COUNTIF(H10:H237,"Passed")</f>
        <v>6</v>
      </c>
      <c r="C5" s="17" t="s">
        <v>6</v>
      </c>
      <c r="D5" s="15"/>
      <c r="E5" s="15"/>
      <c r="F5" s="15"/>
      <c r="G5" s="20"/>
      <c r="H5" s="15"/>
      <c r="I5" s="15"/>
      <c r="J5" s="15"/>
    </row>
    <row r="6" spans="1:10" ht="16.2" customHeight="1" thickBot="1">
      <c r="A6" s="2" t="s">
        <v>7</v>
      </c>
      <c r="B6" s="13">
        <v>0</v>
      </c>
      <c r="C6" s="17" t="s">
        <v>8</v>
      </c>
      <c r="D6" s="15"/>
      <c r="E6" s="15"/>
      <c r="F6" s="15"/>
      <c r="G6" s="20"/>
      <c r="H6" s="15"/>
      <c r="I6" s="15"/>
      <c r="J6" s="15"/>
    </row>
    <row r="7" spans="1:10" ht="16.2" customHeight="1" thickBot="1">
      <c r="A7" s="2" t="s">
        <v>9</v>
      </c>
      <c r="B7" s="13">
        <f>COUNTIF(H10:H237,"Skipped")</f>
        <v>0</v>
      </c>
      <c r="C7" s="18" t="s">
        <v>10</v>
      </c>
      <c r="D7" s="15"/>
      <c r="E7" s="15"/>
      <c r="F7" s="15"/>
      <c r="G7" s="20"/>
      <c r="H7" s="15"/>
      <c r="I7" s="15"/>
      <c r="J7" s="15"/>
    </row>
    <row r="8" spans="1:10" ht="31.8" customHeight="1" thickBot="1">
      <c r="A8" s="42" t="s">
        <v>11</v>
      </c>
      <c r="B8" s="42" t="s">
        <v>12</v>
      </c>
      <c r="C8" s="44" t="s">
        <v>13</v>
      </c>
      <c r="D8" s="44" t="s">
        <v>14</v>
      </c>
      <c r="E8" s="44" t="s">
        <v>15</v>
      </c>
      <c r="F8" s="45" t="s">
        <v>16</v>
      </c>
      <c r="G8" s="47" t="s">
        <v>17</v>
      </c>
      <c r="H8" s="27" t="s">
        <v>18</v>
      </c>
      <c r="I8" s="14" t="s">
        <v>19</v>
      </c>
      <c r="J8" s="14" t="s">
        <v>20</v>
      </c>
    </row>
    <row r="9" spans="1:10" ht="16.2" customHeight="1" thickBot="1">
      <c r="A9" s="43"/>
      <c r="B9" s="43"/>
      <c r="C9" s="43"/>
      <c r="D9" s="43"/>
      <c r="E9" s="43"/>
      <c r="F9" s="46"/>
      <c r="G9" s="48"/>
      <c r="H9" s="5" t="s">
        <v>21</v>
      </c>
      <c r="I9" s="6"/>
      <c r="J9" s="6"/>
    </row>
    <row r="10" spans="1:10" ht="48.6" customHeight="1" thickBot="1">
      <c r="A10" s="23" t="s">
        <v>113</v>
      </c>
      <c r="B10" s="24" t="s">
        <v>114</v>
      </c>
      <c r="C10" s="24" t="s">
        <v>88</v>
      </c>
      <c r="D10" s="25"/>
      <c r="E10" s="24" t="s">
        <v>115</v>
      </c>
      <c r="F10" s="24" t="s">
        <v>116</v>
      </c>
      <c r="G10" s="26" t="s">
        <v>27</v>
      </c>
      <c r="H10" s="41" t="s">
        <v>5</v>
      </c>
      <c r="I10" s="8"/>
      <c r="J10" s="8"/>
    </row>
    <row r="11" spans="1:10" ht="109.8" customHeight="1" thickBot="1">
      <c r="A11" s="23" t="s">
        <v>117</v>
      </c>
      <c r="B11" s="7" t="s">
        <v>118</v>
      </c>
      <c r="C11" s="7" t="s">
        <v>119</v>
      </c>
      <c r="D11" s="19"/>
      <c r="E11" s="7" t="s">
        <v>120</v>
      </c>
      <c r="F11" s="7" t="s">
        <v>121</v>
      </c>
      <c r="G11" s="21" t="s">
        <v>27</v>
      </c>
      <c r="H11" s="41" t="s">
        <v>5</v>
      </c>
      <c r="I11" s="8"/>
      <c r="J11" s="8"/>
    </row>
    <row r="12" spans="1:10" ht="115.2" customHeight="1" thickBot="1">
      <c r="A12" s="23" t="s">
        <v>122</v>
      </c>
      <c r="B12" s="7" t="s">
        <v>123</v>
      </c>
      <c r="C12" s="7" t="s">
        <v>119</v>
      </c>
      <c r="D12" s="19" t="s">
        <v>99</v>
      </c>
      <c r="E12" s="7" t="s">
        <v>124</v>
      </c>
      <c r="F12" s="7" t="s">
        <v>125</v>
      </c>
      <c r="G12" s="21" t="s">
        <v>27</v>
      </c>
      <c r="H12" s="41" t="s">
        <v>5</v>
      </c>
      <c r="I12" s="8"/>
      <c r="J12" s="8"/>
    </row>
    <row r="13" spans="1:10" ht="54" customHeight="1" thickBot="1">
      <c r="A13" s="23" t="s">
        <v>126</v>
      </c>
      <c r="B13" s="7" t="s">
        <v>127</v>
      </c>
      <c r="C13" s="7" t="s">
        <v>119</v>
      </c>
      <c r="D13" s="7"/>
      <c r="E13" s="7" t="s">
        <v>128</v>
      </c>
      <c r="F13" s="7" t="s">
        <v>129</v>
      </c>
      <c r="G13" s="21" t="s">
        <v>27</v>
      </c>
      <c r="H13" s="41" t="s">
        <v>5</v>
      </c>
      <c r="I13" s="8"/>
      <c r="J13" s="8"/>
    </row>
    <row r="14" spans="1:10" ht="53.4" customHeight="1" thickBot="1">
      <c r="A14" s="23" t="s">
        <v>130</v>
      </c>
      <c r="B14" s="7" t="s">
        <v>131</v>
      </c>
      <c r="C14" s="7" t="s">
        <v>119</v>
      </c>
      <c r="D14" s="7"/>
      <c r="E14" s="7" t="s">
        <v>132</v>
      </c>
      <c r="F14" s="7" t="s">
        <v>133</v>
      </c>
      <c r="G14" s="21" t="s">
        <v>41</v>
      </c>
      <c r="H14" s="41" t="s">
        <v>5</v>
      </c>
      <c r="I14" s="8"/>
      <c r="J14" s="8"/>
    </row>
    <row r="15" spans="1:10" ht="52.2" customHeight="1" thickBot="1">
      <c r="A15" s="23" t="s">
        <v>134</v>
      </c>
      <c r="B15" s="7" t="s">
        <v>135</v>
      </c>
      <c r="C15" s="7" t="s">
        <v>119</v>
      </c>
      <c r="D15" s="7"/>
      <c r="E15" s="7" t="s">
        <v>136</v>
      </c>
      <c r="F15" s="7" t="s">
        <v>112</v>
      </c>
      <c r="G15" s="21" t="s">
        <v>41</v>
      </c>
      <c r="H15" s="41" t="s">
        <v>5</v>
      </c>
      <c r="I15" s="8"/>
      <c r="J15" s="8"/>
    </row>
  </sheetData>
  <mergeCells count="7">
    <mergeCell ref="A8:A9"/>
    <mergeCell ref="E8:E9"/>
    <mergeCell ref="C8:C9"/>
    <mergeCell ref="F8:F9"/>
    <mergeCell ref="G8:G9"/>
    <mergeCell ref="D8:D9"/>
    <mergeCell ref="B8:B9"/>
  </mergeCells>
  <conditionalFormatting sqref="H10:H15">
    <cfRule type="cellIs" dxfId="19" priority="1" operator="equal">
      <formula>"Pending"</formula>
    </cfRule>
    <cfRule type="cellIs" dxfId="18" priority="2" operator="equal">
      <formula>"Wait"</formula>
    </cfRule>
    <cfRule type="cellIs" dxfId="17" priority="3" operator="equal">
      <formula>"Accepted"</formula>
    </cfRule>
    <cfRule type="cellIs" dxfId="16" priority="4" operator="equal">
      <formula>"Failed"</formula>
    </cfRule>
    <cfRule type="cellIs" dxfId="15" priority="5" operator="equal">
      <formula>"Passed"</formula>
    </cfRule>
  </conditionalFormatting>
  <dataValidations count="1">
    <dataValidation type="list" allowBlank="1" showInputMessage="1" showErrorMessage="1" sqref="H10:H15" xr:uid="{00000000-0002-0000-0200-000000000000}">
      <formula1>"Passed, Failed, Pending"</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6" tint="0.59999389629810485"/>
  </sheetPr>
  <dimension ref="A1:J14"/>
  <sheetViews>
    <sheetView topLeftCell="A8" zoomScale="115" zoomScaleNormal="115" workbookViewId="0">
      <selection activeCell="K19" sqref="K19"/>
    </sheetView>
  </sheetViews>
  <sheetFormatPr defaultRowHeight="14.4"/>
  <cols>
    <col min="1" max="1" width="16.21875" customWidth="1"/>
    <col min="2" max="2" width="32.21875" customWidth="1"/>
    <col min="3" max="3" width="35.44140625" customWidth="1"/>
    <col min="4" max="4" width="13.44140625" customWidth="1"/>
    <col min="5" max="5" width="28.77734375" customWidth="1"/>
    <col min="6" max="6" width="38.21875" customWidth="1"/>
    <col min="7" max="7" width="11.88671875" style="22" customWidth="1"/>
  </cols>
  <sheetData>
    <row r="1" spans="1:10" ht="24.6" customHeight="1" thickBot="1">
      <c r="A1" s="1" t="s">
        <v>0</v>
      </c>
      <c r="B1" s="9"/>
      <c r="C1" s="15"/>
      <c r="D1" s="15"/>
      <c r="E1" s="15"/>
      <c r="F1" s="15"/>
      <c r="G1" s="20"/>
      <c r="H1" s="15"/>
      <c r="I1" s="15"/>
      <c r="J1" s="15"/>
    </row>
    <row r="2" spans="1:10" ht="16.2" customHeight="1" thickBot="1">
      <c r="A2" s="2" t="s">
        <v>1</v>
      </c>
      <c r="B2" s="10"/>
      <c r="C2" s="15"/>
      <c r="D2" s="15"/>
      <c r="E2" s="15"/>
      <c r="F2" s="15"/>
      <c r="G2" s="20"/>
      <c r="H2" s="15"/>
      <c r="I2" s="15"/>
      <c r="J2" s="15"/>
    </row>
    <row r="3" spans="1:10" ht="23.4" customHeight="1" thickBot="1">
      <c r="A3" s="3"/>
      <c r="B3" s="11" t="s">
        <v>2</v>
      </c>
      <c r="D3" s="15"/>
      <c r="E3" s="16" t="s">
        <v>3</v>
      </c>
      <c r="F3" s="15"/>
      <c r="G3" s="20"/>
      <c r="H3" s="15"/>
      <c r="I3" s="15"/>
      <c r="J3" s="15"/>
    </row>
    <row r="4" spans="1:10" ht="20.399999999999999" customHeight="1" thickBot="1">
      <c r="A4" s="4" t="s">
        <v>4</v>
      </c>
      <c r="B4" s="12">
        <f>COUNTIFS(A10:A237,"TC*")</f>
        <v>5</v>
      </c>
      <c r="C4" s="15"/>
      <c r="D4" s="15"/>
      <c r="E4" s="15"/>
      <c r="F4" s="15"/>
      <c r="G4" s="20"/>
      <c r="H4" s="15"/>
      <c r="I4" s="15"/>
      <c r="J4" s="15"/>
    </row>
    <row r="5" spans="1:10" ht="16.2" customHeight="1" thickBot="1">
      <c r="A5" s="2" t="s">
        <v>5</v>
      </c>
      <c r="B5" s="13">
        <f>COUNTIF(H10:H237,"Passed")</f>
        <v>5</v>
      </c>
      <c r="C5" s="17" t="s">
        <v>6</v>
      </c>
      <c r="D5" s="15"/>
      <c r="E5" s="15"/>
      <c r="F5" s="15"/>
      <c r="G5" s="20"/>
      <c r="H5" s="15"/>
      <c r="I5" s="15"/>
      <c r="J5" s="15"/>
    </row>
    <row r="6" spans="1:10" ht="16.2" customHeight="1" thickBot="1">
      <c r="A6" s="2" t="s">
        <v>7</v>
      </c>
      <c r="B6" s="13">
        <f>COUNTIF(H10:H237,"Failed")</f>
        <v>0</v>
      </c>
      <c r="C6" s="17" t="s">
        <v>8</v>
      </c>
      <c r="D6" s="15"/>
      <c r="E6" s="15"/>
      <c r="F6" s="15"/>
      <c r="G6" s="20"/>
      <c r="H6" s="15"/>
      <c r="I6" s="15"/>
      <c r="J6" s="15"/>
    </row>
    <row r="7" spans="1:10" ht="16.2" customHeight="1" thickBot="1">
      <c r="A7" s="2" t="s">
        <v>9</v>
      </c>
      <c r="B7" s="13">
        <f>COUNTIF(H10:H237,"Skipped")</f>
        <v>0</v>
      </c>
      <c r="C7" s="18" t="s">
        <v>10</v>
      </c>
      <c r="D7" s="15"/>
      <c r="E7" s="15"/>
      <c r="F7" s="15"/>
      <c r="G7" s="20"/>
      <c r="H7" s="15"/>
      <c r="I7" s="15"/>
      <c r="J7" s="15"/>
    </row>
    <row r="8" spans="1:10" ht="31.8" customHeight="1" thickBot="1">
      <c r="A8" s="42" t="s">
        <v>11</v>
      </c>
      <c r="B8" s="42" t="s">
        <v>12</v>
      </c>
      <c r="C8" s="44" t="s">
        <v>13</v>
      </c>
      <c r="D8" s="44" t="s">
        <v>14</v>
      </c>
      <c r="E8" s="44" t="s">
        <v>15</v>
      </c>
      <c r="F8" s="45" t="s">
        <v>16</v>
      </c>
      <c r="G8" s="47" t="s">
        <v>17</v>
      </c>
      <c r="H8" s="27" t="s">
        <v>18</v>
      </c>
      <c r="I8" s="14" t="s">
        <v>19</v>
      </c>
      <c r="J8" s="14" t="s">
        <v>20</v>
      </c>
    </row>
    <row r="9" spans="1:10" ht="16.2" customHeight="1" thickBot="1">
      <c r="A9" s="43"/>
      <c r="B9" s="43"/>
      <c r="C9" s="43"/>
      <c r="D9" s="43"/>
      <c r="E9" s="43"/>
      <c r="F9" s="46"/>
      <c r="G9" s="48"/>
      <c r="H9" s="5" t="s">
        <v>21</v>
      </c>
      <c r="I9" s="6"/>
      <c r="J9" s="6"/>
    </row>
    <row r="10" spans="1:10" ht="34.799999999999997" customHeight="1" thickBot="1">
      <c r="A10" s="7" t="s">
        <v>22</v>
      </c>
      <c r="B10" s="7" t="s">
        <v>23</v>
      </c>
      <c r="C10" s="7" t="s">
        <v>24</v>
      </c>
      <c r="D10" s="19"/>
      <c r="E10" s="7" t="s">
        <v>25</v>
      </c>
      <c r="F10" s="7" t="s">
        <v>26</v>
      </c>
      <c r="G10" s="21" t="s">
        <v>27</v>
      </c>
      <c r="H10" s="41" t="s">
        <v>5</v>
      </c>
      <c r="I10" s="8"/>
      <c r="J10" s="8"/>
    </row>
    <row r="11" spans="1:10" ht="69.599999999999994" customHeight="1" thickBot="1">
      <c r="A11" s="7" t="s">
        <v>28</v>
      </c>
      <c r="B11" s="7" t="s">
        <v>29</v>
      </c>
      <c r="C11" s="7" t="s">
        <v>24</v>
      </c>
      <c r="D11" s="19"/>
      <c r="E11" s="7" t="s">
        <v>30</v>
      </c>
      <c r="F11" s="7" t="s">
        <v>31</v>
      </c>
      <c r="G11" s="21" t="s">
        <v>27</v>
      </c>
      <c r="H11" s="41" t="s">
        <v>5</v>
      </c>
      <c r="I11" s="8"/>
      <c r="J11" s="8"/>
    </row>
    <row r="12" spans="1:10" ht="58.2" customHeight="1" thickBot="1">
      <c r="A12" s="7" t="s">
        <v>32</v>
      </c>
      <c r="B12" s="7" t="s">
        <v>33</v>
      </c>
      <c r="C12" s="7" t="s">
        <v>24</v>
      </c>
      <c r="D12" s="7"/>
      <c r="E12" s="7" t="s">
        <v>34</v>
      </c>
      <c r="F12" s="7" t="s">
        <v>35</v>
      </c>
      <c r="G12" s="21" t="s">
        <v>27</v>
      </c>
      <c r="H12" s="41" t="s">
        <v>5</v>
      </c>
      <c r="I12" s="8"/>
      <c r="J12" s="8"/>
    </row>
    <row r="13" spans="1:10" ht="34.799999999999997" customHeight="1" thickBot="1">
      <c r="A13" s="7" t="s">
        <v>36</v>
      </c>
      <c r="B13" s="7" t="s">
        <v>37</v>
      </c>
      <c r="C13" s="7" t="s">
        <v>24</v>
      </c>
      <c r="D13" s="7" t="s">
        <v>38</v>
      </c>
      <c r="E13" s="7" t="s">
        <v>39</v>
      </c>
      <c r="F13" s="7" t="s">
        <v>40</v>
      </c>
      <c r="G13" s="21" t="s">
        <v>41</v>
      </c>
      <c r="H13" s="41" t="s">
        <v>5</v>
      </c>
      <c r="I13" s="8"/>
      <c r="J13" s="8"/>
    </row>
    <row r="14" spans="1:10" ht="39.6" customHeight="1" thickBot="1">
      <c r="A14" s="7" t="s">
        <v>42</v>
      </c>
      <c r="B14" s="7" t="s">
        <v>43</v>
      </c>
      <c r="C14" s="7" t="s">
        <v>24</v>
      </c>
      <c r="D14" s="7" t="s">
        <v>44</v>
      </c>
      <c r="E14" s="7" t="s">
        <v>45</v>
      </c>
      <c r="F14" s="7" t="s">
        <v>46</v>
      </c>
      <c r="G14" s="21" t="s">
        <v>41</v>
      </c>
      <c r="H14" s="41" t="s">
        <v>5</v>
      </c>
      <c r="I14" s="8"/>
      <c r="J14" s="8"/>
    </row>
  </sheetData>
  <mergeCells count="7">
    <mergeCell ref="A8:A9"/>
    <mergeCell ref="E8:E9"/>
    <mergeCell ref="C8:C9"/>
    <mergeCell ref="F8:F9"/>
    <mergeCell ref="G8:G9"/>
    <mergeCell ref="D8:D9"/>
    <mergeCell ref="B8:B9"/>
  </mergeCells>
  <conditionalFormatting sqref="H10:H14">
    <cfRule type="cellIs" dxfId="14" priority="1" operator="equal">
      <formula>"Pending"</formula>
    </cfRule>
    <cfRule type="cellIs" dxfId="13" priority="2" operator="equal">
      <formula>"Wait"</formula>
    </cfRule>
    <cfRule type="cellIs" dxfId="12" priority="3" operator="equal">
      <formula>"Accepted"</formula>
    </cfRule>
    <cfRule type="cellIs" dxfId="11" priority="4" operator="equal">
      <formula>"Failed"</formula>
    </cfRule>
    <cfRule type="cellIs" dxfId="10" priority="5" operator="equal">
      <formula>"Passed"</formula>
    </cfRule>
  </conditionalFormatting>
  <dataValidations count="1">
    <dataValidation type="list" allowBlank="1" showInputMessage="1" showErrorMessage="1" sqref="H10:H14" xr:uid="{00000000-0002-0000-0300-000000000000}">
      <formula1>"Passed, Failed, Pending"</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8" tint="0.59999389629810485"/>
  </sheetPr>
  <dimension ref="A1:J18"/>
  <sheetViews>
    <sheetView topLeftCell="A8" zoomScaleNormal="100" workbookViewId="0">
      <selection activeCell="H8" sqref="H8"/>
    </sheetView>
  </sheetViews>
  <sheetFormatPr defaultRowHeight="14.4"/>
  <cols>
    <col min="1" max="1" width="15.6640625" customWidth="1"/>
    <col min="2" max="2" width="32.88671875" customWidth="1"/>
    <col min="3" max="3" width="32.44140625" customWidth="1"/>
    <col min="4" max="4" width="17.44140625" customWidth="1"/>
    <col min="5" max="5" width="38" customWidth="1"/>
    <col min="6" max="6" width="38.44140625" customWidth="1"/>
    <col min="7" max="7" width="9.77734375" customWidth="1"/>
  </cols>
  <sheetData>
    <row r="1" spans="1:10" ht="16.2" customHeight="1" thickBot="1">
      <c r="A1" s="1" t="s">
        <v>0</v>
      </c>
      <c r="B1" s="9"/>
      <c r="C1" s="15"/>
      <c r="D1" s="15"/>
      <c r="E1" s="15"/>
      <c r="F1" s="15"/>
      <c r="G1" s="15"/>
      <c r="H1" s="15"/>
      <c r="I1" s="15"/>
      <c r="J1" s="15"/>
    </row>
    <row r="2" spans="1:10" ht="16.2" customHeight="1" thickBot="1">
      <c r="A2" s="2" t="s">
        <v>1</v>
      </c>
      <c r="B2" s="10"/>
      <c r="C2" s="15"/>
      <c r="D2" s="15"/>
      <c r="E2" s="15"/>
      <c r="F2" s="15"/>
      <c r="G2" s="15"/>
      <c r="H2" s="15"/>
      <c r="I2" s="15"/>
      <c r="J2" s="15"/>
    </row>
    <row r="3" spans="1:10" ht="22.2" customHeight="1" thickBot="1">
      <c r="A3" s="3"/>
      <c r="B3" s="11" t="s">
        <v>2</v>
      </c>
      <c r="D3" s="15"/>
      <c r="E3" s="16" t="s">
        <v>3</v>
      </c>
      <c r="F3" s="15"/>
      <c r="G3" s="15"/>
      <c r="H3" s="15"/>
      <c r="I3" s="15"/>
      <c r="J3" s="15"/>
    </row>
    <row r="4" spans="1:10" ht="18" customHeight="1" thickBot="1">
      <c r="A4" s="4" t="s">
        <v>4</v>
      </c>
      <c r="B4" s="12">
        <f>COUNTIFS(A10:A237,"TC*")</f>
        <v>9</v>
      </c>
      <c r="C4" s="15"/>
      <c r="D4" s="15"/>
      <c r="E4" s="15"/>
      <c r="F4" s="15"/>
      <c r="G4" s="15"/>
      <c r="H4" s="15"/>
      <c r="I4" s="15"/>
      <c r="J4" s="15"/>
    </row>
    <row r="5" spans="1:10" ht="16.2" customHeight="1" thickBot="1">
      <c r="A5" s="2" t="s">
        <v>5</v>
      </c>
      <c r="B5" s="13">
        <f>COUNTIF(H10:H237,"Passed")</f>
        <v>9</v>
      </c>
      <c r="C5" s="17" t="s">
        <v>6</v>
      </c>
      <c r="D5" s="15"/>
      <c r="E5" s="15"/>
      <c r="F5" s="15"/>
      <c r="G5" s="15"/>
      <c r="H5" s="15"/>
      <c r="I5" s="15"/>
      <c r="J5" s="15"/>
    </row>
    <row r="6" spans="1:10" ht="16.2" customHeight="1" thickBot="1">
      <c r="A6" s="2" t="s">
        <v>7</v>
      </c>
      <c r="B6" s="13">
        <v>0</v>
      </c>
      <c r="C6" s="17" t="s">
        <v>8</v>
      </c>
      <c r="D6" s="15"/>
      <c r="E6" s="15"/>
      <c r="F6" s="15"/>
      <c r="G6" s="15"/>
      <c r="H6" s="15"/>
      <c r="I6" s="15"/>
      <c r="J6" s="15"/>
    </row>
    <row r="7" spans="1:10" ht="16.2" customHeight="1" thickBot="1">
      <c r="A7" s="2" t="s">
        <v>9</v>
      </c>
      <c r="B7" s="13">
        <f>COUNTIF(H10:H237,"Skipped")</f>
        <v>0</v>
      </c>
      <c r="C7" s="18" t="s">
        <v>10</v>
      </c>
      <c r="D7" s="15"/>
      <c r="E7" s="15"/>
      <c r="F7" s="15"/>
      <c r="G7" s="15"/>
      <c r="H7" s="15"/>
      <c r="I7" s="15"/>
      <c r="J7" s="15"/>
    </row>
    <row r="8" spans="1:10" ht="31.8" customHeight="1" thickBot="1">
      <c r="A8" s="42" t="s">
        <v>11</v>
      </c>
      <c r="B8" s="42" t="s">
        <v>12</v>
      </c>
      <c r="C8" s="44" t="s">
        <v>13</v>
      </c>
      <c r="D8" s="44" t="s">
        <v>14</v>
      </c>
      <c r="E8" s="44" t="s">
        <v>15</v>
      </c>
      <c r="F8" s="45" t="s">
        <v>16</v>
      </c>
      <c r="G8" s="47" t="s">
        <v>17</v>
      </c>
      <c r="H8" s="27" t="s">
        <v>18</v>
      </c>
      <c r="I8" s="14" t="s">
        <v>19</v>
      </c>
      <c r="J8" s="14" t="s">
        <v>20</v>
      </c>
    </row>
    <row r="9" spans="1:10" ht="16.2" customHeight="1" thickBot="1">
      <c r="A9" s="43"/>
      <c r="B9" s="43"/>
      <c r="C9" s="43"/>
      <c r="D9" s="43"/>
      <c r="E9" s="43"/>
      <c r="F9" s="46"/>
      <c r="G9" s="48"/>
      <c r="H9" s="5" t="s">
        <v>21</v>
      </c>
      <c r="I9" s="6"/>
      <c r="J9" s="6"/>
    </row>
    <row r="10" spans="1:10" ht="41.4" customHeight="1" thickBot="1">
      <c r="A10" s="23" t="s">
        <v>137</v>
      </c>
      <c r="B10" s="24" t="s">
        <v>138</v>
      </c>
      <c r="C10" s="24" t="s">
        <v>139</v>
      </c>
      <c r="D10" s="25"/>
      <c r="E10" s="24" t="s">
        <v>140</v>
      </c>
      <c r="F10" s="24" t="s">
        <v>216</v>
      </c>
      <c r="G10" s="24" t="s">
        <v>27</v>
      </c>
      <c r="H10" s="41" t="s">
        <v>5</v>
      </c>
      <c r="I10" s="8"/>
      <c r="J10" s="8"/>
    </row>
    <row r="11" spans="1:10" ht="46.8" customHeight="1" thickBot="1">
      <c r="A11" s="23" t="s">
        <v>141</v>
      </c>
      <c r="B11" s="7" t="s">
        <v>142</v>
      </c>
      <c r="C11" s="24" t="s">
        <v>139</v>
      </c>
      <c r="D11" s="25"/>
      <c r="E11" s="7" t="s">
        <v>143</v>
      </c>
      <c r="F11" s="7" t="s">
        <v>144</v>
      </c>
      <c r="G11" s="7" t="s">
        <v>27</v>
      </c>
      <c r="H11" s="41" t="s">
        <v>5</v>
      </c>
      <c r="I11" s="8"/>
      <c r="J11" s="8"/>
    </row>
    <row r="12" spans="1:10" ht="40.200000000000003" customHeight="1" thickBot="1">
      <c r="A12" s="23" t="s">
        <v>145</v>
      </c>
      <c r="B12" s="7" t="s">
        <v>146</v>
      </c>
      <c r="C12" s="24" t="s">
        <v>139</v>
      </c>
      <c r="D12" s="25"/>
      <c r="E12" s="7" t="s">
        <v>147</v>
      </c>
      <c r="F12" s="7" t="s">
        <v>148</v>
      </c>
      <c r="G12" s="7" t="s">
        <v>27</v>
      </c>
      <c r="H12" s="41" t="s">
        <v>5</v>
      </c>
      <c r="I12" s="8"/>
      <c r="J12" s="8"/>
    </row>
    <row r="13" spans="1:10" ht="40.200000000000003" customHeight="1" thickBot="1">
      <c r="A13" s="23" t="s">
        <v>149</v>
      </c>
      <c r="B13" s="7" t="s">
        <v>150</v>
      </c>
      <c r="C13" s="24" t="s">
        <v>139</v>
      </c>
      <c r="D13" s="7"/>
      <c r="E13" s="7" t="s">
        <v>151</v>
      </c>
      <c r="F13" s="7" t="s">
        <v>152</v>
      </c>
      <c r="G13" s="7" t="s">
        <v>27</v>
      </c>
      <c r="H13" s="41" t="s">
        <v>5</v>
      </c>
      <c r="I13" s="8"/>
      <c r="J13" s="8"/>
    </row>
    <row r="14" spans="1:10" ht="42.6" customHeight="1" thickBot="1">
      <c r="A14" s="23" t="s">
        <v>153</v>
      </c>
      <c r="B14" s="7" t="s">
        <v>154</v>
      </c>
      <c r="C14" s="24" t="s">
        <v>139</v>
      </c>
      <c r="D14" s="7"/>
      <c r="E14" s="7" t="s">
        <v>155</v>
      </c>
      <c r="F14" s="7" t="s">
        <v>156</v>
      </c>
      <c r="G14" s="7" t="s">
        <v>41</v>
      </c>
      <c r="H14" s="41" t="s">
        <v>5</v>
      </c>
      <c r="I14" s="8"/>
      <c r="J14" s="8"/>
    </row>
    <row r="15" spans="1:10" ht="30" customHeight="1" thickBot="1">
      <c r="A15" s="23" t="s">
        <v>157</v>
      </c>
      <c r="B15" s="7" t="s">
        <v>158</v>
      </c>
      <c r="C15" s="24" t="s">
        <v>139</v>
      </c>
      <c r="D15" s="7"/>
      <c r="E15" s="7" t="s">
        <v>159</v>
      </c>
      <c r="F15" s="7" t="s">
        <v>160</v>
      </c>
      <c r="G15" s="7" t="s">
        <v>41</v>
      </c>
      <c r="H15" s="41" t="s">
        <v>5</v>
      </c>
      <c r="I15" s="8"/>
      <c r="J15" s="8"/>
    </row>
    <row r="16" spans="1:10" ht="43.8" customHeight="1" thickBot="1">
      <c r="A16" s="23" t="s">
        <v>161</v>
      </c>
      <c r="B16" s="7" t="s">
        <v>162</v>
      </c>
      <c r="C16" s="24" t="s">
        <v>139</v>
      </c>
      <c r="D16" s="7"/>
      <c r="E16" s="7" t="s">
        <v>163</v>
      </c>
      <c r="F16" s="7" t="s">
        <v>164</v>
      </c>
      <c r="G16" s="7" t="s">
        <v>41</v>
      </c>
      <c r="H16" s="41" t="s">
        <v>5</v>
      </c>
      <c r="I16" s="8"/>
      <c r="J16" s="8"/>
    </row>
    <row r="17" spans="1:10" ht="42.6" customHeight="1" thickBot="1">
      <c r="A17" s="23" t="s">
        <v>165</v>
      </c>
      <c r="B17" s="7" t="s">
        <v>166</v>
      </c>
      <c r="C17" s="24" t="s">
        <v>139</v>
      </c>
      <c r="D17" s="7"/>
      <c r="E17" s="7" t="s">
        <v>167</v>
      </c>
      <c r="F17" s="7" t="s">
        <v>168</v>
      </c>
      <c r="G17" s="7" t="s">
        <v>41</v>
      </c>
      <c r="H17" s="41" t="s">
        <v>5</v>
      </c>
      <c r="I17" s="8"/>
      <c r="J17" s="8"/>
    </row>
    <row r="18" spans="1:10" ht="38.4" customHeight="1" thickBot="1">
      <c r="A18" s="23" t="s">
        <v>169</v>
      </c>
      <c r="B18" s="7" t="s">
        <v>170</v>
      </c>
      <c r="C18" s="24" t="s">
        <v>139</v>
      </c>
      <c r="D18" s="7"/>
      <c r="E18" s="7" t="s">
        <v>171</v>
      </c>
      <c r="F18" s="7" t="s">
        <v>172</v>
      </c>
      <c r="G18" s="7" t="s">
        <v>41</v>
      </c>
      <c r="H18" s="41" t="s">
        <v>5</v>
      </c>
      <c r="I18" s="8"/>
      <c r="J18" s="8"/>
    </row>
  </sheetData>
  <mergeCells count="7">
    <mergeCell ref="A8:A9"/>
    <mergeCell ref="E8:E9"/>
    <mergeCell ref="C8:C9"/>
    <mergeCell ref="F8:F9"/>
    <mergeCell ref="G8:G9"/>
    <mergeCell ref="D8:D9"/>
    <mergeCell ref="B8:B9"/>
  </mergeCells>
  <conditionalFormatting sqref="H10:H18">
    <cfRule type="cellIs" dxfId="9" priority="1" operator="equal">
      <formula>"Pending"</formula>
    </cfRule>
    <cfRule type="cellIs" dxfId="8" priority="2" operator="equal">
      <formula>"Wait"</formula>
    </cfRule>
    <cfRule type="cellIs" dxfId="7" priority="3" operator="equal">
      <formula>"Accepted"</formula>
    </cfRule>
    <cfRule type="cellIs" dxfId="6" priority="4" operator="equal">
      <formula>"Failed"</formula>
    </cfRule>
    <cfRule type="cellIs" dxfId="5" priority="5" operator="equal">
      <formula>"Passed"</formula>
    </cfRule>
  </conditionalFormatting>
  <dataValidations count="1">
    <dataValidation type="list" allowBlank="1" showInputMessage="1" showErrorMessage="1" sqref="H10:H18" xr:uid="{00000000-0002-0000-0400-000000000000}">
      <formula1>"Passed, Failed, Pending"</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5" tint="0.59999389629810485"/>
  </sheetPr>
  <dimension ref="A1:J17"/>
  <sheetViews>
    <sheetView zoomScale="70" zoomScaleNormal="70" workbookViewId="0">
      <selection activeCell="E18" sqref="E18"/>
    </sheetView>
  </sheetViews>
  <sheetFormatPr defaultRowHeight="14.4"/>
  <cols>
    <col min="1" max="1" width="16" customWidth="1"/>
    <col min="2" max="2" width="31.5546875" customWidth="1"/>
    <col min="3" max="3" width="21.21875" customWidth="1"/>
    <col min="4" max="4" width="21.6640625" customWidth="1"/>
    <col min="5" max="5" width="29.88671875" customWidth="1"/>
    <col min="6" max="6" width="31.21875" customWidth="1"/>
    <col min="7" max="7" width="10.33203125" customWidth="1"/>
  </cols>
  <sheetData>
    <row r="1" spans="1:10" ht="16.2" customHeight="1" thickBot="1">
      <c r="A1" s="1" t="s">
        <v>0</v>
      </c>
      <c r="B1" s="9"/>
      <c r="C1" s="15"/>
      <c r="D1" s="15"/>
      <c r="E1" s="15"/>
      <c r="F1" s="15"/>
      <c r="G1" s="15"/>
      <c r="H1" s="15"/>
      <c r="I1" s="15"/>
      <c r="J1" s="15"/>
    </row>
    <row r="2" spans="1:10" ht="16.2" customHeight="1" thickBot="1">
      <c r="A2" s="2" t="s">
        <v>1</v>
      </c>
      <c r="B2" s="10"/>
      <c r="C2" s="15"/>
      <c r="D2" s="15"/>
      <c r="E2" s="15"/>
      <c r="F2" s="15"/>
      <c r="G2" s="15"/>
      <c r="H2" s="15"/>
      <c r="I2" s="15"/>
      <c r="J2" s="15"/>
    </row>
    <row r="3" spans="1:10" ht="18" customHeight="1" thickBot="1">
      <c r="A3" s="3"/>
      <c r="B3" s="11" t="s">
        <v>2</v>
      </c>
      <c r="D3" s="15"/>
      <c r="E3" s="16" t="s">
        <v>3</v>
      </c>
      <c r="F3" s="15"/>
      <c r="G3" s="15"/>
      <c r="H3" s="15"/>
      <c r="I3" s="15"/>
      <c r="J3" s="15"/>
    </row>
    <row r="4" spans="1:10" ht="19.2" customHeight="1" thickBot="1">
      <c r="A4" s="4" t="s">
        <v>4</v>
      </c>
      <c r="B4" s="12">
        <f>COUNTIFS(A10:A237,"TC*")</f>
        <v>8</v>
      </c>
      <c r="C4" s="15"/>
      <c r="D4" s="15"/>
      <c r="E4" s="15"/>
      <c r="F4" s="15"/>
      <c r="G4" s="15"/>
      <c r="H4" s="15"/>
      <c r="I4" s="15"/>
      <c r="J4" s="15"/>
    </row>
    <row r="5" spans="1:10" ht="16.2" customHeight="1" thickBot="1">
      <c r="A5" s="2" t="s">
        <v>5</v>
      </c>
      <c r="B5" s="13">
        <f>COUNTIF(H10:H237,"Passed")</f>
        <v>8</v>
      </c>
      <c r="C5" s="17" t="s">
        <v>6</v>
      </c>
      <c r="D5" s="15"/>
      <c r="E5" s="15"/>
      <c r="F5" s="15"/>
      <c r="G5" s="15"/>
      <c r="H5" s="15"/>
      <c r="I5" s="15"/>
      <c r="J5" s="15"/>
    </row>
    <row r="6" spans="1:10" ht="16.2" customHeight="1" thickBot="1">
      <c r="A6" s="2" t="s">
        <v>7</v>
      </c>
      <c r="B6" s="13">
        <v>0</v>
      </c>
      <c r="C6" s="17" t="s">
        <v>8</v>
      </c>
      <c r="D6" s="15"/>
      <c r="E6" s="15"/>
      <c r="F6" s="15"/>
      <c r="G6" s="15"/>
      <c r="H6" s="15"/>
      <c r="I6" s="15"/>
      <c r="J6" s="15"/>
    </row>
    <row r="7" spans="1:10" ht="16.2" customHeight="1" thickBot="1">
      <c r="A7" s="2" t="s">
        <v>9</v>
      </c>
      <c r="B7" s="13">
        <f>COUNTIF(H10:H237,"Skipped")</f>
        <v>0</v>
      </c>
      <c r="C7" s="18" t="s">
        <v>10</v>
      </c>
      <c r="D7" s="15"/>
      <c r="E7" s="15"/>
      <c r="F7" s="15"/>
      <c r="G7" s="15"/>
      <c r="H7" s="15"/>
      <c r="I7" s="15"/>
      <c r="J7" s="15"/>
    </row>
    <row r="8" spans="1:10" ht="31.8" customHeight="1" thickBot="1">
      <c r="A8" s="42" t="s">
        <v>11</v>
      </c>
      <c r="B8" s="42" t="s">
        <v>12</v>
      </c>
      <c r="C8" s="44" t="s">
        <v>13</v>
      </c>
      <c r="D8" s="44" t="s">
        <v>14</v>
      </c>
      <c r="E8" s="44" t="s">
        <v>15</v>
      </c>
      <c r="F8" s="45" t="s">
        <v>16</v>
      </c>
      <c r="G8" s="47" t="s">
        <v>17</v>
      </c>
      <c r="H8" s="27" t="s">
        <v>18</v>
      </c>
      <c r="I8" s="14" t="s">
        <v>19</v>
      </c>
      <c r="J8" s="14" t="s">
        <v>20</v>
      </c>
    </row>
    <row r="9" spans="1:10" ht="16.2" customHeight="1" thickBot="1">
      <c r="A9" s="43"/>
      <c r="B9" s="43"/>
      <c r="C9" s="43"/>
      <c r="D9" s="43"/>
      <c r="E9" s="43"/>
      <c r="F9" s="46"/>
      <c r="G9" s="48"/>
      <c r="H9" s="5" t="s">
        <v>21</v>
      </c>
      <c r="I9" s="6"/>
      <c r="J9" s="6"/>
    </row>
    <row r="10" spans="1:10" ht="43.8" customHeight="1" thickBot="1">
      <c r="A10" s="23" t="s">
        <v>173</v>
      </c>
      <c r="B10" s="24" t="s">
        <v>174</v>
      </c>
      <c r="C10" s="24" t="s">
        <v>175</v>
      </c>
      <c r="D10" s="25" t="s">
        <v>176</v>
      </c>
      <c r="E10" s="24" t="s">
        <v>177</v>
      </c>
      <c r="F10" s="24" t="s">
        <v>178</v>
      </c>
      <c r="G10" s="24" t="s">
        <v>27</v>
      </c>
      <c r="H10" s="41" t="s">
        <v>5</v>
      </c>
      <c r="I10" s="8"/>
      <c r="J10" s="8"/>
    </row>
    <row r="11" spans="1:10" ht="48.6" customHeight="1" thickBot="1">
      <c r="A11" s="23" t="s">
        <v>179</v>
      </c>
      <c r="B11" s="7" t="s">
        <v>180</v>
      </c>
      <c r="C11" s="24" t="s">
        <v>175</v>
      </c>
      <c r="D11" s="25"/>
      <c r="E11" s="24" t="s">
        <v>181</v>
      </c>
      <c r="F11" s="7" t="s">
        <v>182</v>
      </c>
      <c r="G11" s="7" t="s">
        <v>27</v>
      </c>
      <c r="H11" s="41" t="s">
        <v>5</v>
      </c>
      <c r="I11" s="8"/>
      <c r="J11" s="8"/>
    </row>
    <row r="12" spans="1:10" ht="41.4" customHeight="1" thickBot="1">
      <c r="A12" s="23" t="s">
        <v>183</v>
      </c>
      <c r="B12" s="7" t="s">
        <v>184</v>
      </c>
      <c r="C12" s="24" t="s">
        <v>175</v>
      </c>
      <c r="D12" s="7"/>
      <c r="E12" s="24" t="s">
        <v>177</v>
      </c>
      <c r="F12" s="7" t="s">
        <v>185</v>
      </c>
      <c r="G12" s="7" t="s">
        <v>27</v>
      </c>
      <c r="H12" s="41" t="s">
        <v>5</v>
      </c>
      <c r="I12" s="8"/>
      <c r="J12" s="8"/>
    </row>
    <row r="13" spans="1:10" ht="35.4" customHeight="1" thickBot="1">
      <c r="A13" s="23" t="s">
        <v>186</v>
      </c>
      <c r="B13" s="7" t="s">
        <v>187</v>
      </c>
      <c r="C13" s="7" t="s">
        <v>188</v>
      </c>
      <c r="D13" s="7"/>
      <c r="E13" s="7" t="s">
        <v>189</v>
      </c>
      <c r="F13" s="7" t="s">
        <v>190</v>
      </c>
      <c r="G13" s="7" t="s">
        <v>41</v>
      </c>
      <c r="H13" s="41" t="s">
        <v>5</v>
      </c>
      <c r="I13" s="8"/>
      <c r="J13" s="8"/>
    </row>
    <row r="14" spans="1:10" ht="65.400000000000006" customHeight="1" thickBot="1">
      <c r="A14" s="23" t="s">
        <v>191</v>
      </c>
      <c r="B14" s="7" t="s">
        <v>192</v>
      </c>
      <c r="C14" s="7" t="s">
        <v>188</v>
      </c>
      <c r="D14" s="7"/>
      <c r="E14" s="7" t="s">
        <v>193</v>
      </c>
      <c r="F14" s="7" t="s">
        <v>194</v>
      </c>
      <c r="G14" s="7" t="s">
        <v>41</v>
      </c>
      <c r="H14" s="41" t="s">
        <v>5</v>
      </c>
      <c r="I14" s="8"/>
      <c r="J14" s="8"/>
    </row>
    <row r="15" spans="1:10" ht="47.4" customHeight="1" thickBot="1">
      <c r="A15" s="23" t="s">
        <v>195</v>
      </c>
      <c r="B15" s="7" t="s">
        <v>196</v>
      </c>
      <c r="C15" s="7" t="s">
        <v>188</v>
      </c>
      <c r="D15" s="7"/>
      <c r="E15" s="7" t="s">
        <v>197</v>
      </c>
      <c r="F15" s="7" t="s">
        <v>198</v>
      </c>
      <c r="G15" s="7" t="s">
        <v>41</v>
      </c>
      <c r="H15" s="41" t="s">
        <v>5</v>
      </c>
      <c r="I15" s="8"/>
      <c r="J15" s="8"/>
    </row>
    <row r="16" spans="1:10" ht="40.200000000000003" customHeight="1" thickBot="1">
      <c r="A16" s="23" t="s">
        <v>199</v>
      </c>
      <c r="B16" s="7" t="s">
        <v>200</v>
      </c>
      <c r="C16" s="7" t="s">
        <v>188</v>
      </c>
      <c r="D16" s="7"/>
      <c r="E16" s="7" t="s">
        <v>201</v>
      </c>
      <c r="F16" s="7" t="s">
        <v>202</v>
      </c>
      <c r="G16" s="7" t="s">
        <v>41</v>
      </c>
      <c r="H16" s="41" t="s">
        <v>5</v>
      </c>
      <c r="I16" s="8"/>
      <c r="J16" s="8"/>
    </row>
    <row r="17" spans="1:10" ht="35.4" customHeight="1" thickBot="1">
      <c r="A17" s="23" t="s">
        <v>203</v>
      </c>
      <c r="B17" s="7" t="s">
        <v>204</v>
      </c>
      <c r="C17" s="7" t="s">
        <v>188</v>
      </c>
      <c r="D17" s="7"/>
      <c r="E17" s="7" t="s">
        <v>167</v>
      </c>
      <c r="F17" s="7" t="s">
        <v>205</v>
      </c>
      <c r="G17" s="7" t="s">
        <v>41</v>
      </c>
      <c r="H17" s="41" t="s">
        <v>5</v>
      </c>
      <c r="I17" s="8"/>
      <c r="J17" s="8"/>
    </row>
  </sheetData>
  <mergeCells count="7">
    <mergeCell ref="A8:A9"/>
    <mergeCell ref="E8:E9"/>
    <mergeCell ref="C8:C9"/>
    <mergeCell ref="F8:F9"/>
    <mergeCell ref="G8:G9"/>
    <mergeCell ref="D8:D9"/>
    <mergeCell ref="B8:B9"/>
  </mergeCells>
  <conditionalFormatting sqref="H10:H17">
    <cfRule type="cellIs" dxfId="4" priority="1" operator="equal">
      <formula>"Pending"</formula>
    </cfRule>
    <cfRule type="cellIs" dxfId="3" priority="2" operator="equal">
      <formula>"Wait"</formula>
    </cfRule>
    <cfRule type="cellIs" dxfId="2" priority="3" operator="equal">
      <formula>"Accepted"</formula>
    </cfRule>
    <cfRule type="cellIs" dxfId="1" priority="4" operator="equal">
      <formula>"Failed"</formula>
    </cfRule>
    <cfRule type="cellIs" dxfId="0" priority="5" operator="equal">
      <formula>"Passed"</formula>
    </cfRule>
  </conditionalFormatting>
  <dataValidations count="1">
    <dataValidation type="list" allowBlank="1" showInputMessage="1" showErrorMessage="1" sqref="H10:H17" xr:uid="{00000000-0002-0000-0500-000000000000}">
      <formula1>"Passed, Failed, Pending"</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14"/>
  <sheetViews>
    <sheetView workbookViewId="0">
      <selection activeCell="B12" sqref="B12"/>
    </sheetView>
  </sheetViews>
  <sheetFormatPr defaultRowHeight="15.6"/>
  <cols>
    <col min="1" max="1" width="18.6640625" style="29" customWidth="1"/>
    <col min="2" max="2" width="16.44140625" style="28" customWidth="1"/>
    <col min="3" max="3" width="8.88671875" style="28" customWidth="1"/>
    <col min="4" max="4" width="9.44140625" style="28" bestFit="1" customWidth="1"/>
    <col min="5" max="5" width="10.33203125" style="28" customWidth="1"/>
    <col min="6" max="6" width="14.44140625" style="28" customWidth="1"/>
    <col min="7" max="7" width="8.88671875" style="28" customWidth="1"/>
    <col min="8" max="16384" width="8.88671875" style="28"/>
  </cols>
  <sheetData>
    <row r="1" spans="1:8" ht="22.2" customHeight="1">
      <c r="A1" s="35" t="s">
        <v>206</v>
      </c>
      <c r="B1" s="35" t="s">
        <v>207</v>
      </c>
      <c r="C1" s="35" t="s">
        <v>5</v>
      </c>
      <c r="D1" s="35" t="s">
        <v>7</v>
      </c>
      <c r="E1" s="35" t="s">
        <v>9</v>
      </c>
      <c r="F1" s="35" t="s">
        <v>208</v>
      </c>
    </row>
    <row r="2" spans="1:8">
      <c r="A2" s="38" t="s">
        <v>209</v>
      </c>
      <c r="B2" s="36">
        <f>COUNTIF('Đăng nhập'!A:A, "TC_*")</f>
        <v>10</v>
      </c>
      <c r="C2" s="36">
        <f>COUNTIF('Đăng nhập'!H:H, "*Passed*")</f>
        <v>10</v>
      </c>
      <c r="D2" s="36">
        <f>COUNTIF('Đăng nhập'!H:H, "*Failed*")</f>
        <v>0</v>
      </c>
      <c r="E2" s="36">
        <f>COUNTIF('Đăng nhập'!H:H, "*Skipped*")</f>
        <v>0</v>
      </c>
      <c r="F2" s="37">
        <f t="shared" ref="F2:F8" si="0">IF(B2=0, 0, C2/B2)</f>
        <v>1</v>
      </c>
    </row>
    <row r="3" spans="1:8" ht="31.2" customHeight="1">
      <c r="A3" s="38" t="s">
        <v>210</v>
      </c>
      <c r="B3" s="36">
        <f>COUNTIF('Quản lý sách - Thêm mới sách'!A:A, "TC_*")</f>
        <v>6</v>
      </c>
      <c r="C3" s="36">
        <f>COUNTIF('Quản lý sách - Thêm mới sách'!H:H, "*Passed*")</f>
        <v>6</v>
      </c>
      <c r="D3" s="36">
        <f>COUNTIF('Quản lý sách - Thêm mới sách'!H:H, "*Failed*")</f>
        <v>0</v>
      </c>
      <c r="E3" s="36">
        <f>COUNTIF('Quản lý sách - Thêm mới sách'!H:H, "*Skipped*")</f>
        <v>0</v>
      </c>
      <c r="F3" s="37">
        <f t="shared" si="0"/>
        <v>1</v>
      </c>
    </row>
    <row r="4" spans="1:8" ht="35.4" customHeight="1">
      <c r="A4" s="38" t="s">
        <v>211</v>
      </c>
      <c r="B4" s="36">
        <f>COUNTIF('Quản lý sách - Chỉnh sửa sách'!A:A, "TC_*")</f>
        <v>6</v>
      </c>
      <c r="C4" s="36">
        <f>COUNTIF('Quản lý sách - Chỉnh sửa sách'!H:H, "*Passed*")</f>
        <v>6</v>
      </c>
      <c r="D4" s="36">
        <f>COUNTIF('Quản lý sách - Chỉnh sửa sách'!H:H, "*Failed*")</f>
        <v>0</v>
      </c>
      <c r="E4" s="36">
        <f>COUNTIF('Quản lý sách - Chỉnh sửa sách'!H:H, "*Skipped*")</f>
        <v>0</v>
      </c>
      <c r="F4" s="37">
        <f t="shared" si="0"/>
        <v>1</v>
      </c>
    </row>
    <row r="5" spans="1:8" ht="31.2" customHeight="1">
      <c r="A5" s="38" t="s">
        <v>212</v>
      </c>
      <c r="B5" s="36">
        <f>COUNTIF('Quản lý sách - Xóa, tìm kiếm '!A:A, "TC_*")</f>
        <v>5</v>
      </c>
      <c r="C5" s="36">
        <f>COUNTIF('Quản lý sách - Xóa, tìm kiếm '!H:H, "*Passed*")</f>
        <v>5</v>
      </c>
      <c r="D5" s="36">
        <f>COUNTIF('Quản lý sách - Xóa, tìm kiếm '!H:H, "*Failed*")</f>
        <v>0</v>
      </c>
      <c r="E5" s="36">
        <f>COUNTIF('Quản lý sách - Xóa, tìm kiếm '!H:H, "*Skipped*")</f>
        <v>0</v>
      </c>
      <c r="F5" s="37">
        <f t="shared" si="0"/>
        <v>1</v>
      </c>
    </row>
    <row r="6" spans="1:8">
      <c r="A6" s="38" t="s">
        <v>213</v>
      </c>
      <c r="B6" s="36">
        <f>COUNTIF('Quản lý mượn, trả'!A:A, "TC_*")</f>
        <v>9</v>
      </c>
      <c r="C6" s="36">
        <f>COUNTIF('Quản lý mượn, trả'!H:H, "*Passed*")</f>
        <v>9</v>
      </c>
      <c r="D6" s="36">
        <f>COUNTIF('Quản lý mượn, trả'!H:H, "*Failed*")</f>
        <v>0</v>
      </c>
      <c r="E6" s="36">
        <f>COUNTIF('Quản lý mượn, trả'!H:H, "*Skipped*")</f>
        <v>0</v>
      </c>
      <c r="F6" s="37">
        <f t="shared" si="0"/>
        <v>1</v>
      </c>
    </row>
    <row r="7" spans="1:8">
      <c r="A7" s="38" t="s">
        <v>214</v>
      </c>
      <c r="B7" s="36">
        <f>COUNTIF('Mượn sách'!A:A, "TC_*")</f>
        <v>8</v>
      </c>
      <c r="C7" s="36">
        <f>COUNTIF('Mượn sách'!H:H, "*Passed*")</f>
        <v>8</v>
      </c>
      <c r="D7" s="36">
        <f>COUNTIF('Mượn sách'!H:H, "*Failed*")</f>
        <v>0</v>
      </c>
      <c r="E7" s="36">
        <f>COUNTIF('Mượn sách'!H:H, "*Skipped*")</f>
        <v>0</v>
      </c>
      <c r="F7" s="37">
        <f t="shared" si="0"/>
        <v>1</v>
      </c>
    </row>
    <row r="8" spans="1:8">
      <c r="A8" s="39" t="s">
        <v>215</v>
      </c>
      <c r="B8" s="36">
        <f>SUM(B2:B7)</f>
        <v>44</v>
      </c>
      <c r="C8" s="36">
        <f>SUM(C2:C7)</f>
        <v>44</v>
      </c>
      <c r="D8" s="36">
        <f>SUM(D2:D7)</f>
        <v>0</v>
      </c>
      <c r="E8" s="36">
        <f>SUM(E2:E7)</f>
        <v>0</v>
      </c>
      <c r="F8" s="37">
        <f t="shared" si="0"/>
        <v>1</v>
      </c>
    </row>
    <row r="12" spans="1:8">
      <c r="H12" s="34"/>
    </row>
    <row r="13" spans="1:8">
      <c r="F13" s="30"/>
      <c r="G13" s="31"/>
    </row>
    <row r="14" spans="1:8">
      <c r="F14" s="32"/>
      <c r="G14" s="3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Đăng nhập</vt:lpstr>
      <vt:lpstr>Quản lý sách - Thêm mới sách</vt:lpstr>
      <vt:lpstr>Quản lý sách - Chỉnh sửa sách</vt:lpstr>
      <vt:lpstr>Quản lý sách - Xóa, tìm kiếm </vt:lpstr>
      <vt:lpstr>Quản lý mượn, trả</vt:lpstr>
      <vt:lpstr>Mượn sách</vt:lpstr>
      <vt:lpstr>Test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Ngô Thị Anh</dc:creator>
  <cp:lastModifiedBy>Ngô Thị Anh</cp:lastModifiedBy>
  <dcterms:created xsi:type="dcterms:W3CDTF">2026-04-07T02:31:28Z</dcterms:created>
  <dcterms:modified xsi:type="dcterms:W3CDTF">2026-05-05T15:48:17Z</dcterms:modified>
</cp:coreProperties>
</file>